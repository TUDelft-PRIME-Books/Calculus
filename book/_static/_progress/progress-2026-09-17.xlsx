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ouden\Nextcloud\Documents\Calculus boek\"/>
    </mc:Choice>
  </mc:AlternateContent>
  <xr:revisionPtr revIDLastSave="0" documentId="13_ncr:1_{AA84D0ED-D92F-4DA9-9B39-A5D18CC60C2B}" xr6:coauthVersionLast="47" xr6:coauthVersionMax="47" xr10:uidLastSave="{00000000-0000-0000-0000-000000000000}"/>
  <bookViews>
    <workbookView xWindow="-11220" yWindow="-21720" windowWidth="51840" windowHeight="21120" activeTab="3" xr2:uid="{00000000-000D-0000-FFFF-FFFF00000000}"/>
  </bookViews>
  <sheets>
    <sheet name="Dashboard" sheetId="2" r:id="rId1"/>
    <sheet name="Pivot Chapters" sheetId="4" r:id="rId2"/>
    <sheet name="Pivot Pilots" sheetId="5" r:id="rId3"/>
    <sheet name="Details" sheetId="1" r:id="rId4"/>
  </sheets>
  <definedNames>
    <definedName name="_xlnm._FilterDatabase" localSheetId="3" hidden="1">Details!$A$1:$L$149</definedName>
    <definedName name="_xlchart.v2.0" hidden="1">Dashboard!$B$3:$B$8</definedName>
    <definedName name="_xlchart.v2.1" hidden="1">Dashboard!$C$2</definedName>
    <definedName name="_xlchart.v2.2" hidden="1">Dashboard!$C$3:$C$8</definedName>
    <definedName name="_xlchart.v2.3" hidden="1">Dashboard!$D$2</definedName>
    <definedName name="_xlchart.v2.4" hidden="1">Dashboard!$D$3:$D$8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P3" i="2" a="1"/>
  <c r="P3" i="2" s="1"/>
  <c r="Q3" i="2" a="1"/>
  <c r="Q3" i="2" s="1"/>
  <c r="R3" i="2" a="1"/>
  <c r="R3" i="2" s="1"/>
  <c r="S3" i="2" a="1"/>
  <c r="S3" i="2" s="1"/>
  <c r="T3" i="2" a="1"/>
  <c r="T3" i="2" s="1"/>
  <c r="U3" i="2" a="1"/>
  <c r="U3" i="2" s="1"/>
  <c r="P4" i="2" a="1"/>
  <c r="P4" i="2" s="1"/>
  <c r="Q4" i="2" a="1"/>
  <c r="Q4" i="2" s="1"/>
  <c r="R4" i="2" a="1"/>
  <c r="R4" i="2" s="1"/>
  <c r="S4" i="2" a="1"/>
  <c r="S4" i="2" s="1"/>
  <c r="T4" i="2" a="1"/>
  <c r="T4" i="2" s="1"/>
  <c r="U4" i="2" a="1"/>
  <c r="U4" i="2" s="1"/>
  <c r="G3" i="2"/>
  <c r="I3" i="2" s="1" a="1"/>
  <c r="I3" i="2" s="1"/>
  <c r="G4" i="2"/>
  <c r="K4" i="2" s="1" a="1"/>
  <c r="K4" i="2" s="1"/>
  <c r="G5" i="2"/>
  <c r="K5" i="2" s="1" a="1"/>
  <c r="K5" i="2" s="1"/>
  <c r="G6" i="2"/>
  <c r="M6" i="2" s="1" a="1"/>
  <c r="M6" i="2" s="1"/>
  <c r="G7" i="2"/>
  <c r="I7" i="2" s="1" a="1"/>
  <c r="I7" i="2" s="1"/>
  <c r="G8" i="2"/>
  <c r="M8" i="2" s="1" a="1"/>
  <c r="M8" i="2" s="1"/>
  <c r="G9" i="2"/>
  <c r="I9" i="2" s="1" a="1"/>
  <c r="I9" i="2" s="1"/>
  <c r="G10" i="2"/>
  <c r="I10" i="2" s="1" a="1"/>
  <c r="I10" i="2" s="1"/>
  <c r="G11" i="2"/>
  <c r="L11" i="2" s="1" a="1"/>
  <c r="L11" i="2" s="1"/>
  <c r="G12" i="2"/>
  <c r="H12" i="2" s="1" a="1"/>
  <c r="H12" i="2" s="1"/>
  <c r="G13" i="2"/>
  <c r="L13" i="2" s="1" a="1"/>
  <c r="L13" i="2" s="1"/>
  <c r="G14" i="2"/>
  <c r="I14" i="2" s="1" a="1"/>
  <c r="I14" i="2" s="1"/>
  <c r="G15" i="2"/>
  <c r="H15" i="2" s="1" a="1"/>
  <c r="H15" i="2" s="1"/>
  <c r="G16" i="2"/>
  <c r="K16" i="2" s="1" a="1"/>
  <c r="K16" i="2" s="1"/>
  <c r="C3" i="2"/>
  <c r="D3" i="2" s="1"/>
  <c r="C8" i="2"/>
  <c r="C7" i="2"/>
  <c r="C6" i="2"/>
  <c r="C4" i="2"/>
  <c r="C5" i="2"/>
  <c r="H4" i="2" l="1" a="1"/>
  <c r="H4" i="2" s="1"/>
  <c r="J4" i="2" a="1"/>
  <c r="J4" i="2" s="1"/>
  <c r="M16" i="2" a="1"/>
  <c r="M16" i="2" s="1"/>
  <c r="L16" i="2" a="1"/>
  <c r="L16" i="2" s="1"/>
  <c r="J16" i="2" a="1"/>
  <c r="J16" i="2" s="1"/>
  <c r="I16" i="2" a="1"/>
  <c r="I16" i="2" s="1"/>
  <c r="L6" i="2" a="1"/>
  <c r="L6" i="2" s="1"/>
  <c r="K6" i="2" a="1"/>
  <c r="K6" i="2" s="1"/>
  <c r="J6" i="2" a="1"/>
  <c r="J6" i="2" s="1"/>
  <c r="I6" i="2" a="1"/>
  <c r="I6" i="2" s="1"/>
  <c r="L4" i="2" a="1"/>
  <c r="L4" i="2" s="1"/>
  <c r="H6" i="2" a="1"/>
  <c r="H6" i="2" s="1"/>
  <c r="I4" i="2" a="1"/>
  <c r="I4" i="2" s="1"/>
  <c r="M11" i="2" a="1"/>
  <c r="M11" i="2" s="1"/>
  <c r="K11" i="2" a="1"/>
  <c r="K11" i="2" s="1"/>
  <c r="J11" i="2" a="1"/>
  <c r="J11" i="2" s="1"/>
  <c r="K13" i="2" a="1"/>
  <c r="K13" i="2" s="1"/>
  <c r="H16" i="2" a="1"/>
  <c r="H16" i="2" s="1"/>
  <c r="I11" i="2" a="1"/>
  <c r="I11" i="2" s="1"/>
  <c r="H11" i="2" a="1"/>
  <c r="H11" i="2" s="1"/>
  <c r="H10" i="2" a="1"/>
  <c r="H10" i="2" s="1"/>
  <c r="L15" i="2" a="1"/>
  <c r="L15" i="2" s="1"/>
  <c r="M10" i="2" a="1"/>
  <c r="M10" i="2" s="1"/>
  <c r="K8" i="2" a="1"/>
  <c r="K8" i="2" s="1"/>
  <c r="H9" i="2" a="1"/>
  <c r="H9" i="2" s="1"/>
  <c r="K15" i="2" a="1"/>
  <c r="K15" i="2" s="1"/>
  <c r="I13" i="2" a="1"/>
  <c r="I13" i="2" s="1"/>
  <c r="L10" i="2" a="1"/>
  <c r="L10" i="2" s="1"/>
  <c r="J8" i="2" a="1"/>
  <c r="J8" i="2" s="1"/>
  <c r="M4" i="2" a="1"/>
  <c r="M4" i="2" s="1"/>
  <c r="H8" i="2" a="1"/>
  <c r="H8" i="2" s="1"/>
  <c r="J15" i="2" a="1"/>
  <c r="J15" i="2" s="1"/>
  <c r="M12" i="2" a="1"/>
  <c r="M12" i="2" s="1"/>
  <c r="K10" i="2" a="1"/>
  <c r="K10" i="2" s="1"/>
  <c r="I8" i="2" a="1"/>
  <c r="I8" i="2" s="1"/>
  <c r="M15" i="2" a="1"/>
  <c r="M15" i="2" s="1"/>
  <c r="L8" i="2" a="1"/>
  <c r="L8" i="2" s="1"/>
  <c r="J13" i="2" a="1"/>
  <c r="J13" i="2" s="1"/>
  <c r="H7" i="2" a="1"/>
  <c r="H7" i="2" s="1"/>
  <c r="I15" i="2" a="1"/>
  <c r="I15" i="2" s="1"/>
  <c r="L12" i="2" a="1"/>
  <c r="L12" i="2" s="1"/>
  <c r="J10" i="2" a="1"/>
  <c r="J10" i="2" s="1"/>
  <c r="M7" i="2" a="1"/>
  <c r="M7" i="2" s="1"/>
  <c r="M14" i="2" a="1"/>
  <c r="M14" i="2" s="1"/>
  <c r="K12" i="2" a="1"/>
  <c r="K12" i="2" s="1"/>
  <c r="L7" i="2" a="1"/>
  <c r="L7" i="2" s="1"/>
  <c r="H3" i="2" a="1"/>
  <c r="H3" i="2" s="1"/>
  <c r="L14" i="2" a="1"/>
  <c r="L14" i="2" s="1"/>
  <c r="J12" i="2" a="1"/>
  <c r="J12" i="2" s="1"/>
  <c r="M9" i="2" a="1"/>
  <c r="M9" i="2" s="1"/>
  <c r="K7" i="2" a="1"/>
  <c r="K7" i="2" s="1"/>
  <c r="K14" i="2" a="1"/>
  <c r="K14" i="2" s="1"/>
  <c r="I12" i="2" a="1"/>
  <c r="I12" i="2" s="1"/>
  <c r="L9" i="2" a="1"/>
  <c r="L9" i="2" s="1"/>
  <c r="J7" i="2" a="1"/>
  <c r="J7" i="2" s="1"/>
  <c r="M3" i="2" a="1"/>
  <c r="M3" i="2" s="1"/>
  <c r="J14" i="2" a="1"/>
  <c r="J14" i="2" s="1"/>
  <c r="K9" i="2" a="1"/>
  <c r="K9" i="2" s="1"/>
  <c r="L3" i="2" a="1"/>
  <c r="L3" i="2" s="1"/>
  <c r="H14" i="2" a="1"/>
  <c r="H14" i="2" s="1"/>
  <c r="J9" i="2" a="1"/>
  <c r="J9" i="2" s="1"/>
  <c r="K3" i="2" a="1"/>
  <c r="K3" i="2" s="1"/>
  <c r="H13" i="2" a="1"/>
  <c r="H13" i="2" s="1"/>
  <c r="M13" i="2" a="1"/>
  <c r="M13" i="2" s="1"/>
  <c r="J3" i="2" a="1"/>
  <c r="J3" i="2" s="1"/>
  <c r="J5" i="2" a="1"/>
  <c r="J5" i="2" s="1"/>
  <c r="H5" i="2" a="1"/>
  <c r="H5" i="2" s="1"/>
  <c r="I5" i="2" a="1"/>
  <c r="I5" i="2" s="1"/>
  <c r="M5" i="2" a="1"/>
  <c r="M5" i="2" s="1"/>
  <c r="L5" i="2" a="1"/>
  <c r="L5" i="2" s="1"/>
  <c r="D8" i="2"/>
  <c r="D5" i="2"/>
  <c r="D4" i="2"/>
  <c r="D6" i="2"/>
  <c r="D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<sst xmlns="http://schemas.openxmlformats.org/spreadsheetml/2006/main" count="555" uniqueCount="143">
  <si>
    <t>Name</t>
  </si>
  <si>
    <t>Part of pilot</t>
  </si>
  <si>
    <t>Trigonometry</t>
  </si>
  <si>
    <t>Yes</t>
  </si>
  <si>
    <t>Rational functions</t>
  </si>
  <si>
    <t>A</t>
  </si>
  <si>
    <t>Inverse functions</t>
  </si>
  <si>
    <t>Limits at a point</t>
  </si>
  <si>
    <t>Limits at infinity</t>
  </si>
  <si>
    <t>Continuity</t>
  </si>
  <si>
    <t>Approximating functions</t>
  </si>
  <si>
    <t>Approximating solutions</t>
  </si>
  <si>
    <t>Functions of one variable</t>
  </si>
  <si>
    <t>Properties of functions</t>
  </si>
  <si>
    <t>Curves in R^2</t>
  </si>
  <si>
    <t>Definite integrals</t>
  </si>
  <si>
    <t>Indefinite integrals</t>
  </si>
  <si>
    <t>Fundamental theorem of calculus</t>
  </si>
  <si>
    <t>Differentiability</t>
  </si>
  <si>
    <t>Chain rule</t>
  </si>
  <si>
    <t>Product and quotient rule</t>
  </si>
  <si>
    <t>Graphs and extreme values</t>
  </si>
  <si>
    <t>Integration by substitution</t>
  </si>
  <si>
    <t>Integration by parts</t>
  </si>
  <si>
    <t>Integration of trigonometric functions</t>
  </si>
  <si>
    <t>Integration of rational functions</t>
  </si>
  <si>
    <t>Improper integrals</t>
  </si>
  <si>
    <t>Approximating integrals</t>
  </si>
  <si>
    <t>Slopes of curves in R^2</t>
  </si>
  <si>
    <t>Derivatives of inverse functions</t>
  </si>
  <si>
    <t>l’Hospital’s rule</t>
  </si>
  <si>
    <t>Sequences and their types</t>
  </si>
  <si>
    <t>B</t>
  </si>
  <si>
    <t>Properties of sequences</t>
  </si>
  <si>
    <t>Convergence of sequences</t>
  </si>
  <si>
    <t>Finite summations and multiplications</t>
  </si>
  <si>
    <t>Series, sums and convergence</t>
  </si>
  <si>
    <t>Special types of series</t>
  </si>
  <si>
    <t>Complex numbers</t>
  </si>
  <si>
    <t>Polar form of complex numbers</t>
  </si>
  <si>
    <t>Classifications and solutions</t>
  </si>
  <si>
    <t>Direction fields and solutions</t>
  </si>
  <si>
    <t>Homogeneous problems with constant coefficients</t>
  </si>
  <si>
    <t>Tests for positive series</t>
  </si>
  <si>
    <t>Tests for general series</t>
  </si>
  <si>
    <t>Power series</t>
  </si>
  <si>
    <t>Taylor series</t>
  </si>
  <si>
    <t>Binomial series</t>
  </si>
  <si>
    <t>Fourier series</t>
  </si>
  <si>
    <t>The Riemann zeta function</t>
  </si>
  <si>
    <t>Catalan’s constant</t>
  </si>
  <si>
    <t>Generating functions</t>
  </si>
  <si>
    <t>Section</t>
  </si>
  <si>
    <t>Chapter</t>
  </si>
  <si>
    <t>Numbers and coordinate systems</t>
  </si>
  <si>
    <t>Set theory and logic</t>
  </si>
  <si>
    <t>Real numbers</t>
  </si>
  <si>
    <t>Coordinate systems</t>
  </si>
  <si>
    <t>Vector algebra</t>
  </si>
  <si>
    <t>Vectors</t>
  </si>
  <si>
    <t>Dot product</t>
  </si>
  <si>
    <t>Cross product</t>
  </si>
  <si>
    <t>Lines and planes</t>
  </si>
  <si>
    <t>Determinants</t>
  </si>
  <si>
    <t>Functions and curves</t>
  </si>
  <si>
    <t>Nonlinear equations of one variable</t>
  </si>
  <si>
    <t>Properties of graphs</t>
  </si>
  <si>
    <t>Iterative methods for various problems</t>
  </si>
  <si>
    <t>Functions of two or more variables</t>
  </si>
  <si>
    <t>Curves in R^3</t>
  </si>
  <si>
    <t>Surfaces in R^3</t>
  </si>
  <si>
    <t>Level curves and surfaces</t>
  </si>
  <si>
    <t>Limits and continuity</t>
  </si>
  <si>
    <t>Nonlinear systems in two variables</t>
  </si>
  <si>
    <t>Partial derivatives</t>
  </si>
  <si>
    <t>Directional derivative and gradient</t>
  </si>
  <si>
    <t>Approximating functions and differentiability</t>
  </si>
  <si>
    <t>Local extrema</t>
  </si>
  <si>
    <t>Global extrema</t>
  </si>
  <si>
    <t>Optimisation under equality constraints</t>
  </si>
  <si>
    <t>Double integrals</t>
  </si>
  <si>
    <t>Coordinate transformations in R^3</t>
  </si>
  <si>
    <t>Triple integrals</t>
  </si>
  <si>
    <t>Coordinate transformations in R^2</t>
  </si>
  <si>
    <t>Multivariable integrals</t>
  </si>
  <si>
    <t>Line integrals</t>
  </si>
  <si>
    <t>Surface integrals</t>
  </si>
  <si>
    <t>Vector fields</t>
  </si>
  <si>
    <t>Line integrals of vector fields</t>
  </si>
  <si>
    <t>Fundamental theorem of line integrals</t>
  </si>
  <si>
    <t>Green’s theorem</t>
  </si>
  <si>
    <t>Surface integrals of vector fields</t>
  </si>
  <si>
    <t>Divergence and curl</t>
  </si>
  <si>
    <t>Gauß’ theorem</t>
  </si>
  <si>
    <t>Stokes’ theorem</t>
  </si>
  <si>
    <t>Existence and uniqueness of solutions</t>
  </si>
  <si>
    <t>Slope fields</t>
  </si>
  <si>
    <t>First-order autonomous differential equations</t>
  </si>
  <si>
    <t>Separable differential equations</t>
  </si>
  <si>
    <t>First-order linear differential equations</t>
  </si>
  <si>
    <t>Exact differential equations</t>
  </si>
  <si>
    <t>Series solutions</t>
  </si>
  <si>
    <t>Inhomogeneous problems with constant coefficients</t>
  </si>
  <si>
    <t>Problems with nonconstant coefficients</t>
  </si>
  <si>
    <t>Ch.Name</t>
  </si>
  <si>
    <t>Sec.Name</t>
  </si>
  <si>
    <t>Differentiation</t>
  </si>
  <si>
    <t>Integration</t>
  </si>
  <si>
    <t>Sequences</t>
  </si>
  <si>
    <t>Series</t>
  </si>
  <si>
    <t>Functions, curves and surfaces</t>
  </si>
  <si>
    <t>Partial differentiation</t>
  </si>
  <si>
    <t>Multivariable integration</t>
  </si>
  <si>
    <t>Vector calculus</t>
  </si>
  <si>
    <t>Introduction to differential equations</t>
  </si>
  <si>
    <t>First-order ordinary differential equations</t>
  </si>
  <si>
    <t>Second-order linear ordinary differential equations</t>
  </si>
  <si>
    <t>KPI</t>
  </si>
  <si>
    <t>Total sections</t>
  </si>
  <si>
    <t>Finished sections</t>
  </si>
  <si>
    <t>Percentage of total</t>
  </si>
  <si>
    <t>Review 2 completed</t>
  </si>
  <si>
    <t>Ready for review 2</t>
  </si>
  <si>
    <t>Review 1 completed</t>
  </si>
  <si>
    <t>Ready for review 1</t>
  </si>
  <si>
    <t>Finished</t>
  </si>
  <si>
    <t>Row Labels</t>
  </si>
  <si>
    <t>Grand Total</t>
  </si>
  <si>
    <t>Column Labels</t>
  </si>
  <si>
    <t>(blank)</t>
  </si>
  <si>
    <t>Cumulative</t>
  </si>
  <si>
    <t>Stage</t>
  </si>
  <si>
    <t>Count of Stage</t>
  </si>
  <si>
    <t>In early stages</t>
  </si>
  <si>
    <t>Number of sections at stage</t>
  </si>
  <si>
    <t>Pilot</t>
  </si>
  <si>
    <t>Early stages</t>
  </si>
  <si>
    <t>Author</t>
  </si>
  <si>
    <t>Not started</t>
  </si>
  <si>
    <t>D. den Ouden-van der Horst</t>
  </si>
  <si>
    <t>R. Koekoek</t>
  </si>
  <si>
    <t>W.M. Schouten-Straatman</t>
  </si>
  <si>
    <t>A.T. Hensbergen &amp; N.D. Verhulst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</si>
</sst>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4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0" xfId="0" applyAlignment="1">
      <alignment horizontal="center"/>
    </xf>
    <xf numFmtId="0" fontId="0" fillId="4" borderId="3" xfId="0" applyFill="1" applyBorder="1" applyAlignment="1">
      <alignment horizontal="center"/>
    </xf>
    <xf numFmtId="0" fontId="4" fillId="2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5" xfId="0" quotePrefix="1" applyFill="1" applyBorder="1" applyAlignment="1">
      <alignment horizontal="left" wrapText="1"/>
    </xf>
    <xf numFmtId="0" fontId="0" fillId="2" borderId="12" xfId="0" applyFill="1" applyBorder="1" applyAlignment="1">
      <alignment horizontal="left" wrapText="1"/>
    </xf>
    <xf numFmtId="0" fontId="0" fillId="2" borderId="4" xfId="0" applyFill="1" applyBorder="1" applyAlignment="1">
      <alignment wrapText="1"/>
    </xf>
    <xf numFmtId="0" fontId="0" fillId="4" borderId="9" xfId="0" applyFill="1" applyBorder="1" applyAlignment="1">
      <alignment horizontal="center"/>
    </xf>
    <xf numFmtId="0" fontId="0" fillId="0" borderId="10" xfId="0" applyBorder="1"/>
    <xf numFmtId="0" fontId="0" fillId="2" borderId="12" xfId="0" quotePrefix="1" applyFill="1" applyBorder="1" applyAlignment="1">
      <alignment horizontal="left" wrapText="1"/>
    </xf>
    <xf numFmtId="0" fontId="0" fillId="2" borderId="1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2" borderId="5" xfId="0" quotePrefix="1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quotePrefix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5" borderId="8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0" borderId="14" xfId="0" applyBorder="1"/>
    <xf numFmtId="0" fontId="0" fillId="0" borderId="0" xfId="0" pivotButton="1"/>
    <xf numFmtId="0" fontId="0" fillId="0" borderId="0" xfId="0" applyAlignment="1">
      <alignment horizontal="left"/>
    </xf>
    <xf numFmtId="0" fontId="3" fillId="7" borderId="16" xfId="0" applyFont="1" applyFill="1" applyBorder="1"/>
    <xf numFmtId="0" fontId="3" fillId="7" borderId="15" xfId="0" applyFont="1" applyFill="1" applyBorder="1"/>
    <xf numFmtId="0" fontId="3" fillId="7" borderId="17" xfId="0" applyFont="1" applyFill="1" applyBorder="1"/>
    <xf numFmtId="0" fontId="0" fillId="6" borderId="16" xfId="0" applyFill="1" applyBorder="1"/>
    <xf numFmtId="0" fontId="0" fillId="6" borderId="15" xfId="0" applyFill="1" applyBorder="1"/>
    <xf numFmtId="0" fontId="0" fillId="0" borderId="16" xfId="0" applyBorder="1"/>
    <xf numFmtId="0" fontId="0" fillId="0" borderId="15" xfId="0" applyBorder="1"/>
    <xf numFmtId="9" fontId="0" fillId="0" borderId="10" xfId="1" applyFont="1" applyBorder="1"/>
    <xf numFmtId="9" fontId="0" fillId="6" borderId="15" xfId="1" applyFont="1" applyFill="1" applyBorder="1"/>
    <xf numFmtId="9" fontId="0" fillId="0" borderId="15" xfId="1" applyFont="1" applyBorder="1"/>
    <xf numFmtId="0" fontId="4" fillId="0" borderId="0" xfId="0" applyFont="1"/>
    <xf numFmtId="0" fontId="3" fillId="7" borderId="0" xfId="0" applyFont="1" applyFill="1"/>
    <xf numFmtId="0" fontId="0" fillId="6" borderId="15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7" borderId="1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5">
    <dxf>
      <numFmt numFmtId="0" formatCode="General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9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Chapter</a:t>
            </a:r>
            <a:r>
              <a:rPr lang="nl-NL" baseline="0"/>
              <a:t>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Dashboard!$H$2</c:f>
              <c:strCache>
                <c:ptCount val="1"/>
                <c:pt idx="0">
                  <c:v>Early stages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Dashboard!$G$3:$G$16</c:f>
              <c:strCache>
                <c:ptCount val="14"/>
                <c:pt idx="0">
                  <c:v>Numbers and coordinate systems</c:v>
                </c:pt>
                <c:pt idx="1">
                  <c:v>Vector algebra</c:v>
                </c:pt>
                <c:pt idx="2">
                  <c:v>Functions and curves</c:v>
                </c:pt>
                <c:pt idx="3">
                  <c:v>Differentiation</c:v>
                </c:pt>
                <c:pt idx="4">
                  <c:v>Integration</c:v>
                </c:pt>
                <c:pt idx="5">
                  <c:v>Sequences</c:v>
                </c:pt>
                <c:pt idx="6">
                  <c:v>Series</c:v>
                </c:pt>
                <c:pt idx="7">
                  <c:v>Functions, curves and surfaces</c:v>
                </c:pt>
                <c:pt idx="8">
                  <c:v>Partial differentiation</c:v>
                </c:pt>
                <c:pt idx="9">
                  <c:v>Multivariable integration</c:v>
                </c:pt>
                <c:pt idx="10">
                  <c:v>Vector calculus</c:v>
                </c:pt>
                <c:pt idx="11">
                  <c:v>Introduction to differential equations</c:v>
                </c:pt>
                <c:pt idx="12">
                  <c:v>First-order ordinary differential equations</c:v>
                </c:pt>
                <c:pt idx="13">
                  <c:v>Second-order linear ordinary differential equations</c:v>
                </c:pt>
              </c:strCache>
            </c:strRef>
          </c:cat>
          <c:val>
            <c:numRef>
              <c:f>Dashboard!$H$3:$H$16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D-4D59-8393-07020FEAF264}"/>
            </c:ext>
          </c:extLst>
        </c:ser>
        <c:ser>
          <c:idx val="1"/>
          <c:order val="1"/>
          <c:tx>
            <c:strRef>
              <c:f>Dashboard!$I$2</c:f>
              <c:strCache>
                <c:ptCount val="1"/>
                <c:pt idx="0">
                  <c:v>Ready for review 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Dashboard!$G$3:$G$16</c:f>
              <c:strCache>
                <c:ptCount val="14"/>
                <c:pt idx="0">
                  <c:v>Numbers and coordinate systems</c:v>
                </c:pt>
                <c:pt idx="1">
                  <c:v>Vector algebra</c:v>
                </c:pt>
                <c:pt idx="2">
                  <c:v>Functions and curves</c:v>
                </c:pt>
                <c:pt idx="3">
                  <c:v>Differentiation</c:v>
                </c:pt>
                <c:pt idx="4">
                  <c:v>Integration</c:v>
                </c:pt>
                <c:pt idx="5">
                  <c:v>Sequences</c:v>
                </c:pt>
                <c:pt idx="6">
                  <c:v>Series</c:v>
                </c:pt>
                <c:pt idx="7">
                  <c:v>Functions, curves and surfaces</c:v>
                </c:pt>
                <c:pt idx="8">
                  <c:v>Partial differentiation</c:v>
                </c:pt>
                <c:pt idx="9">
                  <c:v>Multivariable integration</c:v>
                </c:pt>
                <c:pt idx="10">
                  <c:v>Vector calculus</c:v>
                </c:pt>
                <c:pt idx="11">
                  <c:v>Introduction to differential equations</c:v>
                </c:pt>
                <c:pt idx="12">
                  <c:v>First-order ordinary differential equations</c:v>
                </c:pt>
                <c:pt idx="13">
                  <c:v>Second-order linear ordinary differential equations</c:v>
                </c:pt>
              </c:strCache>
            </c:strRef>
          </c:cat>
          <c:val>
            <c:numRef>
              <c:f>Dashboard!$I$3:$I$16</c:f>
              <c:numCache>
                <c:formatCode>General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9D-4D59-8393-07020FEAF264}"/>
            </c:ext>
          </c:extLst>
        </c:ser>
        <c:ser>
          <c:idx val="2"/>
          <c:order val="2"/>
          <c:tx>
            <c:strRef>
              <c:f>Dashboard!$J$2</c:f>
              <c:strCache>
                <c:ptCount val="1"/>
                <c:pt idx="0">
                  <c:v>Review 1 completed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Dashboard!$G$3:$G$16</c:f>
              <c:strCache>
                <c:ptCount val="14"/>
                <c:pt idx="0">
                  <c:v>Numbers and coordinate systems</c:v>
                </c:pt>
                <c:pt idx="1">
                  <c:v>Vector algebra</c:v>
                </c:pt>
                <c:pt idx="2">
                  <c:v>Functions and curves</c:v>
                </c:pt>
                <c:pt idx="3">
                  <c:v>Differentiation</c:v>
                </c:pt>
                <c:pt idx="4">
                  <c:v>Integration</c:v>
                </c:pt>
                <c:pt idx="5">
                  <c:v>Sequences</c:v>
                </c:pt>
                <c:pt idx="6">
                  <c:v>Series</c:v>
                </c:pt>
                <c:pt idx="7">
                  <c:v>Functions, curves and surfaces</c:v>
                </c:pt>
                <c:pt idx="8">
                  <c:v>Partial differentiation</c:v>
                </c:pt>
                <c:pt idx="9">
                  <c:v>Multivariable integration</c:v>
                </c:pt>
                <c:pt idx="10">
                  <c:v>Vector calculus</c:v>
                </c:pt>
                <c:pt idx="11">
                  <c:v>Introduction to differential equations</c:v>
                </c:pt>
                <c:pt idx="12">
                  <c:v>First-order ordinary differential equations</c:v>
                </c:pt>
                <c:pt idx="13">
                  <c:v>Second-order linear ordinary differential equations</c:v>
                </c:pt>
              </c:strCache>
            </c:strRef>
          </c:cat>
          <c:val>
            <c:numRef>
              <c:f>Dashboard!$J$3:$J$16</c:f>
              <c:numCache>
                <c:formatCode>General</c:formatCode>
                <c:ptCount val="14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9D-4D59-8393-07020FEAF264}"/>
            </c:ext>
          </c:extLst>
        </c:ser>
        <c:ser>
          <c:idx val="3"/>
          <c:order val="3"/>
          <c:tx>
            <c:strRef>
              <c:f>Dashboard!$K$2</c:f>
              <c:strCache>
                <c:ptCount val="1"/>
                <c:pt idx="0">
                  <c:v>Ready for review 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Dashboard!$G$3:$G$16</c:f>
              <c:strCache>
                <c:ptCount val="14"/>
                <c:pt idx="0">
                  <c:v>Numbers and coordinate systems</c:v>
                </c:pt>
                <c:pt idx="1">
                  <c:v>Vector algebra</c:v>
                </c:pt>
                <c:pt idx="2">
                  <c:v>Functions and curves</c:v>
                </c:pt>
                <c:pt idx="3">
                  <c:v>Differentiation</c:v>
                </c:pt>
                <c:pt idx="4">
                  <c:v>Integration</c:v>
                </c:pt>
                <c:pt idx="5">
                  <c:v>Sequences</c:v>
                </c:pt>
                <c:pt idx="6">
                  <c:v>Series</c:v>
                </c:pt>
                <c:pt idx="7">
                  <c:v>Functions, curves and surfaces</c:v>
                </c:pt>
                <c:pt idx="8">
                  <c:v>Partial differentiation</c:v>
                </c:pt>
                <c:pt idx="9">
                  <c:v>Multivariable integration</c:v>
                </c:pt>
                <c:pt idx="10">
                  <c:v>Vector calculus</c:v>
                </c:pt>
                <c:pt idx="11">
                  <c:v>Introduction to differential equations</c:v>
                </c:pt>
                <c:pt idx="12">
                  <c:v>First-order ordinary differential equations</c:v>
                </c:pt>
                <c:pt idx="13">
                  <c:v>Second-order linear ordinary differential equations</c:v>
                </c:pt>
              </c:strCache>
            </c:strRef>
          </c:cat>
          <c:val>
            <c:numRef>
              <c:f>Dashboard!$K$3:$K$16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9D-4D59-8393-07020FEAF264}"/>
            </c:ext>
          </c:extLst>
        </c:ser>
        <c:ser>
          <c:idx val="4"/>
          <c:order val="4"/>
          <c:tx>
            <c:strRef>
              <c:f>Dashboard!$L$2</c:f>
              <c:strCache>
                <c:ptCount val="1"/>
                <c:pt idx="0">
                  <c:v>Review 2 completed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Dashboard!$G$3:$G$16</c:f>
              <c:strCache>
                <c:ptCount val="14"/>
                <c:pt idx="0">
                  <c:v>Numbers and coordinate systems</c:v>
                </c:pt>
                <c:pt idx="1">
                  <c:v>Vector algebra</c:v>
                </c:pt>
                <c:pt idx="2">
                  <c:v>Functions and curves</c:v>
                </c:pt>
                <c:pt idx="3">
                  <c:v>Differentiation</c:v>
                </c:pt>
                <c:pt idx="4">
                  <c:v>Integration</c:v>
                </c:pt>
                <c:pt idx="5">
                  <c:v>Sequences</c:v>
                </c:pt>
                <c:pt idx="6">
                  <c:v>Series</c:v>
                </c:pt>
                <c:pt idx="7">
                  <c:v>Functions, curves and surfaces</c:v>
                </c:pt>
                <c:pt idx="8">
                  <c:v>Partial differentiation</c:v>
                </c:pt>
                <c:pt idx="9">
                  <c:v>Multivariable integration</c:v>
                </c:pt>
                <c:pt idx="10">
                  <c:v>Vector calculus</c:v>
                </c:pt>
                <c:pt idx="11">
                  <c:v>Introduction to differential equations</c:v>
                </c:pt>
                <c:pt idx="12">
                  <c:v>First-order ordinary differential equations</c:v>
                </c:pt>
                <c:pt idx="13">
                  <c:v>Second-order linear ordinary differential equations</c:v>
                </c:pt>
              </c:strCache>
            </c:strRef>
          </c:cat>
          <c:val>
            <c:numRef>
              <c:f>Dashboard!$L$3:$L$16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9D-4D59-8393-07020FEAF264}"/>
            </c:ext>
          </c:extLst>
        </c:ser>
        <c:ser>
          <c:idx val="5"/>
          <c:order val="5"/>
          <c:tx>
            <c:strRef>
              <c:f>Dashboard!$M$2</c:f>
              <c:strCache>
                <c:ptCount val="1"/>
                <c:pt idx="0">
                  <c:v>Finished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Dashboard!$G$3:$G$16</c:f>
              <c:strCache>
                <c:ptCount val="14"/>
                <c:pt idx="0">
                  <c:v>Numbers and coordinate systems</c:v>
                </c:pt>
                <c:pt idx="1">
                  <c:v>Vector algebra</c:v>
                </c:pt>
                <c:pt idx="2">
                  <c:v>Functions and curves</c:v>
                </c:pt>
                <c:pt idx="3">
                  <c:v>Differentiation</c:v>
                </c:pt>
                <c:pt idx="4">
                  <c:v>Integration</c:v>
                </c:pt>
                <c:pt idx="5">
                  <c:v>Sequences</c:v>
                </c:pt>
                <c:pt idx="6">
                  <c:v>Series</c:v>
                </c:pt>
                <c:pt idx="7">
                  <c:v>Functions, curves and surfaces</c:v>
                </c:pt>
                <c:pt idx="8">
                  <c:v>Partial differentiation</c:v>
                </c:pt>
                <c:pt idx="9">
                  <c:v>Multivariable integration</c:v>
                </c:pt>
                <c:pt idx="10">
                  <c:v>Vector calculus</c:v>
                </c:pt>
                <c:pt idx="11">
                  <c:v>Introduction to differential equations</c:v>
                </c:pt>
                <c:pt idx="12">
                  <c:v>First-order ordinary differential equations</c:v>
                </c:pt>
                <c:pt idx="13">
                  <c:v>Second-order linear ordinary differential equations</c:v>
                </c:pt>
              </c:strCache>
            </c:strRef>
          </c:cat>
          <c:val>
            <c:numRef>
              <c:f>Dashboard!$M$3:$M$16</c:f>
              <c:numCache>
                <c:formatCode>General</c:formatCode>
                <c:ptCount val="14"/>
                <c:pt idx="0">
                  <c:v>0</c:v>
                </c:pt>
                <c:pt idx="1">
                  <c:v>5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9D-4D59-8393-07020FEAF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829055"/>
        <c:axId val="73961455"/>
      </c:barChart>
      <c:catAx>
        <c:axId val="1398290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3961455"/>
        <c:crosses val="autoZero"/>
        <c:auto val="1"/>
        <c:lblAlgn val="ctr"/>
        <c:lblOffset val="100"/>
        <c:noMultiLvlLbl val="0"/>
      </c:catAx>
      <c:valAx>
        <c:axId val="7396145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982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Pilot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Dashboard!$P$2</c:f>
              <c:strCache>
                <c:ptCount val="1"/>
                <c:pt idx="0">
                  <c:v>In early stages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Dashboard!$O$3:$O$4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Dashboard!$P$3:$P$4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2-4AFF-9AAB-E15925D16295}"/>
            </c:ext>
          </c:extLst>
        </c:ser>
        <c:ser>
          <c:idx val="1"/>
          <c:order val="1"/>
          <c:tx>
            <c:strRef>
              <c:f>Dashboard!$Q$2</c:f>
              <c:strCache>
                <c:ptCount val="1"/>
                <c:pt idx="0">
                  <c:v>Ready for review 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Dashboard!$O$3:$O$4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Dashboard!$Q$3:$Q$4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2-4AFF-9AAB-E15925D16295}"/>
            </c:ext>
          </c:extLst>
        </c:ser>
        <c:ser>
          <c:idx val="2"/>
          <c:order val="2"/>
          <c:tx>
            <c:strRef>
              <c:f>Dashboard!$R$2</c:f>
              <c:strCache>
                <c:ptCount val="1"/>
                <c:pt idx="0">
                  <c:v>Review 1 completed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Dashboard!$O$3:$O$4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Dashboard!$R$3:$R$4</c:f>
              <c:numCache>
                <c:formatCode>General</c:formatCode>
                <c:ptCount val="2"/>
                <c:pt idx="0">
                  <c:v>10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2-4AFF-9AAB-E15925D16295}"/>
            </c:ext>
          </c:extLst>
        </c:ser>
        <c:ser>
          <c:idx val="3"/>
          <c:order val="3"/>
          <c:tx>
            <c:strRef>
              <c:f>Dashboard!$S$2</c:f>
              <c:strCache>
                <c:ptCount val="1"/>
                <c:pt idx="0">
                  <c:v>Ready for review 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Dashboard!$O$3:$O$4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Dashboard!$S$3:$S$4</c:f>
              <c:numCache>
                <c:formatCode>General</c:formatCode>
                <c:ptCount val="2"/>
                <c:pt idx="0">
                  <c:v>12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82-4AFF-9AAB-E15925D16295}"/>
            </c:ext>
          </c:extLst>
        </c:ser>
        <c:ser>
          <c:idx val="4"/>
          <c:order val="4"/>
          <c:tx>
            <c:strRef>
              <c:f>Dashboard!$T$2</c:f>
              <c:strCache>
                <c:ptCount val="1"/>
                <c:pt idx="0">
                  <c:v>Review 2 completed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Dashboard!$O$3:$O$4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Dashboard!$T$3:$T$4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82-4AFF-9AAB-E15925D16295}"/>
            </c:ext>
          </c:extLst>
        </c:ser>
        <c:ser>
          <c:idx val="5"/>
          <c:order val="5"/>
          <c:tx>
            <c:strRef>
              <c:f>Dashboard!$U$2</c:f>
              <c:strCache>
                <c:ptCount val="1"/>
                <c:pt idx="0">
                  <c:v>Finished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Dashboard!$O$3:$O$4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Dashboard!$U$3:$U$4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82-4AFF-9AAB-E15925D16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1656431"/>
        <c:axId val="74022895"/>
      </c:barChart>
      <c:catAx>
        <c:axId val="34165643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022895"/>
        <c:crosses val="autoZero"/>
        <c:auto val="1"/>
        <c:lblAlgn val="ctr"/>
        <c:lblOffset val="100"/>
        <c:noMultiLvlLbl val="0"/>
      </c:catAx>
      <c:valAx>
        <c:axId val="740228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165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  <cx:data id="1">
      <cx:strDim type="cat">
        <cx:f>_xlchart.v2.0</cx:f>
      </cx:strDim>
      <cx:numDim type="val">
        <cx:f>_xlchart.v2.4</cx:f>
      </cx:numDim>
    </cx:data>
  </cx:chartData>
  <cx:chart>
    <cx:title pos="t" align="ctr" overlay="0">
      <cx:tx>
        <cx:txData>
          <cx:v>Funnel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Funnel</a:t>
          </a:r>
        </a:p>
      </cx:txPr>
    </cx:title>
    <cx:plotArea>
      <cx:plotAreaRegion>
        <cx:series layoutId="funnel" uniqueId="{00000000-F41E-4519-85F3-347712E1A7D0}" formatIdx="0">
          <cx:tx>
            <cx:txData>
              <cx:f>_xlchart.v2.1</cx:f>
              <cx:v>Cumulative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00000001-F41E-4519-85F3-347712E1A7D0}" formatIdx="1">
          <cx:tx>
            <cx:txData>
              <cx:f>_xlchart.v2.3</cx:f>
              <cx:v>Percentage of total</cx:v>
            </cx:txData>
          </cx:tx>
          <cx:dataLabels>
            <cx:visibility seriesName="0" categoryName="0" value="1"/>
          </cx:dataLabels>
          <cx:dataId val="1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61912</xdr:rowOff>
    </xdr:from>
    <xdr:to>
      <xdr:col>3</xdr:col>
      <xdr:colOff>1114425</xdr:colOff>
      <xdr:row>23</xdr:row>
      <xdr:rowOff>138112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51A7E5B-0048-D54A-271E-EBCECF2016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5" y="1776412"/>
              <a:ext cx="31337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114300</xdr:colOff>
      <xdr:row>17</xdr:row>
      <xdr:rowOff>90486</xdr:rowOff>
    </xdr:from>
    <xdr:to>
      <xdr:col>12</xdr:col>
      <xdr:colOff>485774</xdr:colOff>
      <xdr:row>45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5452C6-078A-F2B3-2C69-249FB11C0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471487</xdr:colOff>
      <xdr:row>5</xdr:row>
      <xdr:rowOff>100012</xdr:rowOff>
    </xdr:from>
    <xdr:to>
      <xdr:col>21</xdr:col>
      <xdr:colOff>166687</xdr:colOff>
      <xdr:row>19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6ED8E5-829E-EB65-3C3C-CE516FD099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nnis den Ouden-van der Horst" refreshedDate="46282.564236574071" createdVersion="8" refreshedVersion="8" minRefreshableVersion="3" recordCount="96" xr:uid="{6142A8F6-4653-49C5-BFE5-507D993B1A5D}">
  <cacheSource type="worksheet">
    <worksheetSource name="Table1"/>
  </cacheSource>
  <cacheFields count="13">
    <cacheField name="Chapter" numFmtId="0">
      <sharedItems containsSemiMixedTypes="0" containsString="0" containsNumber="1" containsInteger="1" minValue="1" maxValue="14"/>
    </cacheField>
    <cacheField name="Ch.Name" numFmtId="0">
      <sharedItems count="14">
        <s v="Numbers and coordinate systems"/>
        <s v="Vector algebra"/>
        <s v="Functions and curves"/>
        <s v="Differentiation"/>
        <s v="Integration"/>
        <s v="Sequences"/>
        <s v="Series"/>
        <s v="Functions, curves and surfaces"/>
        <s v="Partial differentiation"/>
        <s v="Multivariable integration"/>
        <s v="Vector calculus"/>
        <s v="Introduction to differential equations"/>
        <s v="First-order ordinary differential equations"/>
        <s v="Second-order linear ordinary differential equations"/>
      </sharedItems>
    </cacheField>
    <cacheField name="Section" numFmtId="0">
      <sharedItems containsSemiMixedTypes="0" containsString="0" containsNumber="1" containsInteger="1" minValue="1" maxValue="11"/>
    </cacheField>
    <cacheField name="Sec.Name" numFmtId="0">
      <sharedItems/>
    </cacheField>
    <cacheField name="Author" numFmtId="0">
      <sharedItems containsBlank="1"/>
    </cacheField>
    <cacheField name="Early stages" numFmtId="0">
      <sharedItems containsBlank="1"/>
    </cacheField>
    <cacheField name="Ready for review 1" numFmtId="0">
      <sharedItems containsBlank="1"/>
    </cacheField>
    <cacheField name="Review 1 completed" numFmtId="0">
      <sharedItems containsBlank="1"/>
    </cacheField>
    <cacheField name="Ready for review 2" numFmtId="0">
      <sharedItems containsBlank="1"/>
    </cacheField>
    <cacheField name="Review 2 completed" numFmtId="0">
      <sharedItems containsBlank="1"/>
    </cacheField>
    <cacheField name="Part of pilot" numFmtId="0">
      <sharedItems containsBlank="1" count="3">
        <m/>
        <s v="A"/>
        <s v="B"/>
      </sharedItems>
    </cacheField>
    <cacheField name="Finished" numFmtId="0">
      <sharedItems containsBlank="1"/>
    </cacheField>
    <cacheField name="Stage" numFmtId="0">
      <sharedItems count="8">
        <s v="Not started"/>
        <s v="Early stages"/>
        <s v="Review 1 completed"/>
        <s v="Ready for review 1"/>
        <s v="Finished"/>
        <s v="Ready for review 2"/>
        <s v="In early stages" u="1"/>
        <s v="Review 2 completed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1"/>
    <x v="0"/>
    <n v="1"/>
    <s v="Set theory and logic"/>
    <m/>
    <m/>
    <m/>
    <m/>
    <m/>
    <m/>
    <x v="0"/>
    <m/>
    <x v="0"/>
  </r>
  <r>
    <n v="1"/>
    <x v="0"/>
    <n v="2"/>
    <s v="Real numbers"/>
    <s v="Willem"/>
    <s v="Yes"/>
    <m/>
    <m/>
    <m/>
    <m/>
    <x v="0"/>
    <m/>
    <x v="1"/>
  </r>
  <r>
    <n v="1"/>
    <x v="0"/>
    <n v="3"/>
    <s v="Complex numbers"/>
    <s v="Willem"/>
    <s v="Yes"/>
    <s v="Yes"/>
    <s v="Yes"/>
    <m/>
    <m/>
    <x v="1"/>
    <m/>
    <x v="2"/>
  </r>
  <r>
    <n v="1"/>
    <x v="0"/>
    <n v="4"/>
    <s v="Trigonometry"/>
    <s v="Roelof"/>
    <s v="Yes"/>
    <s v="Yes"/>
    <s v="Yes"/>
    <m/>
    <m/>
    <x v="0"/>
    <m/>
    <x v="2"/>
  </r>
  <r>
    <n v="1"/>
    <x v="0"/>
    <n v="5"/>
    <s v="Coordinate systems"/>
    <s v="Roelof"/>
    <s v="Yes"/>
    <m/>
    <m/>
    <m/>
    <m/>
    <x v="0"/>
    <m/>
    <x v="1"/>
  </r>
  <r>
    <n v="1"/>
    <x v="0"/>
    <n v="6"/>
    <s v="Polar form of complex numbers"/>
    <s v="Willem"/>
    <s v="Yes"/>
    <s v="Yes"/>
    <s v="Yes"/>
    <m/>
    <m/>
    <x v="1"/>
    <m/>
    <x v="2"/>
  </r>
  <r>
    <n v="1"/>
    <x v="0"/>
    <n v="7"/>
    <s v="Finite summations and multiplications"/>
    <s v="Roelof"/>
    <s v="Yes"/>
    <s v="Yes"/>
    <m/>
    <m/>
    <m/>
    <x v="0"/>
    <m/>
    <x v="3"/>
  </r>
  <r>
    <n v="2"/>
    <x v="1"/>
    <n v="1"/>
    <s v="Vectors"/>
    <s v="LA"/>
    <s v="Yes"/>
    <s v="Yes"/>
    <s v="Yes"/>
    <s v="Yes"/>
    <s v="Yes"/>
    <x v="0"/>
    <s v="Yes"/>
    <x v="4"/>
  </r>
  <r>
    <n v="2"/>
    <x v="1"/>
    <n v="2"/>
    <s v="Dot product"/>
    <s v="LA"/>
    <s v="Yes"/>
    <s v="Yes"/>
    <s v="Yes"/>
    <s v="Yes"/>
    <s v="Yes"/>
    <x v="0"/>
    <s v="Yes"/>
    <x v="4"/>
  </r>
  <r>
    <n v="2"/>
    <x v="1"/>
    <n v="3"/>
    <s v="Cross product"/>
    <s v="LA"/>
    <s v="Yes"/>
    <s v="Yes"/>
    <s v="Yes"/>
    <s v="Yes"/>
    <s v="Yes"/>
    <x v="0"/>
    <s v="Yes"/>
    <x v="4"/>
  </r>
  <r>
    <n v="2"/>
    <x v="1"/>
    <n v="4"/>
    <s v="Lines and planes"/>
    <s v="LA"/>
    <s v="Yes"/>
    <s v="Yes"/>
    <s v="Yes"/>
    <s v="Yes"/>
    <s v="Yes"/>
    <x v="0"/>
    <s v="Yes"/>
    <x v="4"/>
  </r>
  <r>
    <n v="2"/>
    <x v="1"/>
    <n v="5"/>
    <s v="Determinants"/>
    <s v="LA"/>
    <s v="Yes"/>
    <s v="Yes"/>
    <s v="Yes"/>
    <s v="Yes"/>
    <s v="Yes"/>
    <x v="0"/>
    <s v="Yes"/>
    <x v="4"/>
  </r>
  <r>
    <n v="3"/>
    <x v="2"/>
    <n v="1"/>
    <s v="Functions of one variable"/>
    <s v="Willem"/>
    <s v="Yes"/>
    <s v="Yes"/>
    <s v="Yes"/>
    <s v="Yes"/>
    <m/>
    <x v="1"/>
    <m/>
    <x v="5"/>
  </r>
  <r>
    <n v="3"/>
    <x v="2"/>
    <n v="2"/>
    <s v="Properties of functions"/>
    <s v="Willem"/>
    <s v="Yes"/>
    <s v="Yes"/>
    <s v="Yes"/>
    <s v="Yes"/>
    <m/>
    <x v="1"/>
    <m/>
    <x v="5"/>
  </r>
  <r>
    <n v="3"/>
    <x v="2"/>
    <n v="3"/>
    <s v="Curves in R^2"/>
    <s v="Willem"/>
    <s v="Yes"/>
    <s v="Yes"/>
    <s v="Yes"/>
    <m/>
    <m/>
    <x v="0"/>
    <m/>
    <x v="2"/>
  </r>
  <r>
    <n v="3"/>
    <x v="2"/>
    <n v="4"/>
    <s v="Rational functions"/>
    <s v="Dennis"/>
    <s v="Yes"/>
    <s v="Yes"/>
    <s v="Yes"/>
    <s v="Yes"/>
    <s v="Yes"/>
    <x v="1"/>
    <s v="Yes"/>
    <x v="4"/>
  </r>
  <r>
    <n v="3"/>
    <x v="2"/>
    <n v="5"/>
    <s v="Inverse functions"/>
    <s v="Willem"/>
    <s v="Yes"/>
    <s v="Yes"/>
    <s v="Yes"/>
    <s v="Yes"/>
    <m/>
    <x v="1"/>
    <m/>
    <x v="5"/>
  </r>
  <r>
    <n v="3"/>
    <x v="2"/>
    <n v="6"/>
    <s v="Nonlinear equations of one variable"/>
    <m/>
    <m/>
    <m/>
    <m/>
    <m/>
    <m/>
    <x v="0"/>
    <m/>
    <x v="0"/>
  </r>
  <r>
    <n v="3"/>
    <x v="2"/>
    <n v="7"/>
    <s v="Limits at a point"/>
    <s v="Willem"/>
    <s v="Yes"/>
    <s v="Yes"/>
    <s v="Yes"/>
    <s v="Yes"/>
    <m/>
    <x v="1"/>
    <m/>
    <x v="5"/>
  </r>
  <r>
    <n v="3"/>
    <x v="2"/>
    <n v="8"/>
    <s v="Limits at infinity"/>
    <s v="Willem"/>
    <s v="Yes"/>
    <s v="Yes"/>
    <s v="Yes"/>
    <s v="Yes"/>
    <m/>
    <x v="1"/>
    <m/>
    <x v="5"/>
  </r>
  <r>
    <n v="3"/>
    <x v="2"/>
    <n v="9"/>
    <s v="Continuity"/>
    <s v="Willem"/>
    <s v="Yes"/>
    <s v="Yes"/>
    <s v="Yes"/>
    <s v="Yes"/>
    <m/>
    <x v="1"/>
    <m/>
    <x v="5"/>
  </r>
  <r>
    <n v="4"/>
    <x v="3"/>
    <n v="1"/>
    <s v="Differentiability"/>
    <s v="Willem"/>
    <s v="Yes"/>
    <s v="Yes"/>
    <s v="Yes"/>
    <m/>
    <m/>
    <x v="1"/>
    <m/>
    <x v="2"/>
  </r>
  <r>
    <n v="4"/>
    <x v="3"/>
    <n v="2"/>
    <s v="Chain rule"/>
    <s v="Willem"/>
    <s v="Yes"/>
    <s v="Yes"/>
    <s v="Yes"/>
    <s v="Yes"/>
    <m/>
    <x v="1"/>
    <m/>
    <x v="5"/>
  </r>
  <r>
    <n v="4"/>
    <x v="3"/>
    <n v="3"/>
    <s v="Product and quotient rule"/>
    <s v="Willem"/>
    <s v="Yes"/>
    <s v="Yes"/>
    <s v="Yes"/>
    <s v="Yes"/>
    <m/>
    <x v="1"/>
    <m/>
    <x v="5"/>
  </r>
  <r>
    <n v="4"/>
    <x v="3"/>
    <n v="4"/>
    <s v="Graphs and extreme values"/>
    <s v="Willem"/>
    <s v="Yes"/>
    <s v="Yes"/>
    <s v="Yes"/>
    <s v="Yes"/>
    <m/>
    <x v="1"/>
    <m/>
    <x v="5"/>
  </r>
  <r>
    <n v="4"/>
    <x v="3"/>
    <n v="5"/>
    <s v="Properties of graphs"/>
    <s v="Willem"/>
    <s v="Yes"/>
    <m/>
    <m/>
    <m/>
    <m/>
    <x v="0"/>
    <m/>
    <x v="1"/>
  </r>
  <r>
    <n v="4"/>
    <x v="3"/>
    <n v="6"/>
    <s v="Slopes of curves in R^2"/>
    <s v="Willem"/>
    <s v="Yes"/>
    <s v="Yes"/>
    <s v="Yes"/>
    <m/>
    <m/>
    <x v="1"/>
    <m/>
    <x v="2"/>
  </r>
  <r>
    <n v="4"/>
    <x v="3"/>
    <n v="7"/>
    <s v="Derivatives of inverse functions"/>
    <s v="Willem"/>
    <s v="Yes"/>
    <s v="Yes"/>
    <s v="Yes"/>
    <s v="Yes"/>
    <m/>
    <x v="1"/>
    <m/>
    <x v="5"/>
  </r>
  <r>
    <n v="4"/>
    <x v="3"/>
    <n v="8"/>
    <s v="Approximating functions"/>
    <s v="Dennis"/>
    <s v="Yes"/>
    <s v="Yes"/>
    <s v="Yes"/>
    <m/>
    <m/>
    <x v="0"/>
    <m/>
    <x v="2"/>
  </r>
  <r>
    <n v="4"/>
    <x v="3"/>
    <n v="9"/>
    <s v="l’Hospital’s rule"/>
    <s v="Willem"/>
    <s v="Yes"/>
    <s v="Yes"/>
    <m/>
    <m/>
    <m/>
    <x v="0"/>
    <m/>
    <x v="3"/>
  </r>
  <r>
    <n v="5"/>
    <x v="4"/>
    <n v="1"/>
    <s v="Definite integrals"/>
    <s v="Roelof"/>
    <s v="Yes"/>
    <s v="Yes"/>
    <s v="Yes"/>
    <s v="Yes"/>
    <m/>
    <x v="1"/>
    <m/>
    <x v="5"/>
  </r>
  <r>
    <n v="5"/>
    <x v="4"/>
    <n v="2"/>
    <s v="Indefinite integrals"/>
    <s v="Roelof"/>
    <s v="Yes"/>
    <s v="Yes"/>
    <s v="Yes"/>
    <s v="Yes"/>
    <m/>
    <x v="1"/>
    <m/>
    <x v="5"/>
  </r>
  <r>
    <n v="5"/>
    <x v="4"/>
    <n v="3"/>
    <s v="Fundamental theorem of calculus"/>
    <s v="Roelof"/>
    <s v="Yes"/>
    <s v="Yes"/>
    <s v="Yes"/>
    <m/>
    <m/>
    <x v="1"/>
    <m/>
    <x v="2"/>
  </r>
  <r>
    <n v="5"/>
    <x v="4"/>
    <n v="4"/>
    <s v="Integration by substitution"/>
    <s v="Roelof"/>
    <s v="Yes"/>
    <s v="Yes"/>
    <s v="Yes"/>
    <m/>
    <m/>
    <x v="1"/>
    <m/>
    <x v="2"/>
  </r>
  <r>
    <n v="5"/>
    <x v="4"/>
    <n v="5"/>
    <s v="Integration by parts"/>
    <s v="Roelof"/>
    <s v="Yes"/>
    <s v="Yes"/>
    <s v="Yes"/>
    <m/>
    <m/>
    <x v="1"/>
    <m/>
    <x v="2"/>
  </r>
  <r>
    <n v="5"/>
    <x v="4"/>
    <n v="6"/>
    <s v="Integration of trigonometric functions"/>
    <s v="Roelof"/>
    <s v="Yes"/>
    <s v="Yes"/>
    <m/>
    <m/>
    <m/>
    <x v="0"/>
    <m/>
    <x v="3"/>
  </r>
  <r>
    <n v="5"/>
    <x v="4"/>
    <n v="7"/>
    <s v="Integration of rational functions"/>
    <s v="Roelof"/>
    <s v="Yes"/>
    <s v="Yes"/>
    <m/>
    <m/>
    <m/>
    <x v="0"/>
    <m/>
    <x v="3"/>
  </r>
  <r>
    <n v="5"/>
    <x v="4"/>
    <n v="8"/>
    <s v="Improper integrals"/>
    <s v="Roelof"/>
    <s v="Yes"/>
    <s v="Yes"/>
    <s v="Yes"/>
    <m/>
    <m/>
    <x v="0"/>
    <m/>
    <x v="2"/>
  </r>
  <r>
    <n v="5"/>
    <x v="4"/>
    <n v="9"/>
    <s v="Approximating integrals"/>
    <s v="Dennis"/>
    <s v="Yes"/>
    <s v="Yes"/>
    <m/>
    <m/>
    <m/>
    <x v="0"/>
    <m/>
    <x v="3"/>
  </r>
  <r>
    <n v="6"/>
    <x v="5"/>
    <n v="1"/>
    <s v="Sequences and their types"/>
    <s v="Roelof"/>
    <s v="Yes"/>
    <s v="Yes"/>
    <m/>
    <m/>
    <m/>
    <x v="2"/>
    <m/>
    <x v="3"/>
  </r>
  <r>
    <n v="6"/>
    <x v="5"/>
    <n v="2"/>
    <s v="Properties of sequences"/>
    <s v="Roelof"/>
    <s v="Yes"/>
    <s v="Yes"/>
    <m/>
    <m/>
    <m/>
    <x v="2"/>
    <m/>
    <x v="3"/>
  </r>
  <r>
    <n v="6"/>
    <x v="5"/>
    <n v="3"/>
    <s v="Convergence of sequences"/>
    <s v="Roelof"/>
    <s v="Yes"/>
    <s v="Yes"/>
    <m/>
    <m/>
    <m/>
    <x v="2"/>
    <m/>
    <x v="3"/>
  </r>
  <r>
    <n v="6"/>
    <x v="5"/>
    <n v="4"/>
    <s v="Iterative methods for various problems"/>
    <m/>
    <m/>
    <m/>
    <m/>
    <m/>
    <m/>
    <x v="0"/>
    <m/>
    <x v="0"/>
  </r>
  <r>
    <n v="7"/>
    <x v="6"/>
    <n v="1"/>
    <s v="Series, sums and convergence"/>
    <s v="Roelof"/>
    <s v="Yes"/>
    <s v="Yes"/>
    <m/>
    <m/>
    <m/>
    <x v="2"/>
    <m/>
    <x v="3"/>
  </r>
  <r>
    <n v="7"/>
    <x v="6"/>
    <n v="2"/>
    <s v="Special types of series"/>
    <s v="Roelof"/>
    <s v="Yes"/>
    <s v="Yes"/>
    <m/>
    <m/>
    <m/>
    <x v="2"/>
    <m/>
    <x v="3"/>
  </r>
  <r>
    <n v="7"/>
    <x v="6"/>
    <n v="3"/>
    <s v="Tests for positive series"/>
    <s v="Roelof"/>
    <s v="Yes"/>
    <s v="Yes"/>
    <m/>
    <m/>
    <m/>
    <x v="2"/>
    <m/>
    <x v="3"/>
  </r>
  <r>
    <n v="7"/>
    <x v="6"/>
    <n v="4"/>
    <s v="Tests for general series"/>
    <s v="Roelof"/>
    <s v="Yes"/>
    <s v="Yes"/>
    <m/>
    <m/>
    <m/>
    <x v="2"/>
    <m/>
    <x v="3"/>
  </r>
  <r>
    <n v="7"/>
    <x v="6"/>
    <n v="5"/>
    <s v="Power series"/>
    <s v="Roelof"/>
    <s v="Yes"/>
    <s v="Yes"/>
    <m/>
    <m/>
    <m/>
    <x v="2"/>
    <m/>
    <x v="3"/>
  </r>
  <r>
    <n v="7"/>
    <x v="6"/>
    <n v="6"/>
    <s v="Taylor series"/>
    <s v="Roelof"/>
    <s v="Yes"/>
    <s v="Yes"/>
    <m/>
    <m/>
    <m/>
    <x v="2"/>
    <m/>
    <x v="3"/>
  </r>
  <r>
    <n v="7"/>
    <x v="6"/>
    <n v="7"/>
    <s v="Binomial series"/>
    <s v="Roelof"/>
    <s v="Yes"/>
    <s v="Yes"/>
    <m/>
    <m/>
    <m/>
    <x v="2"/>
    <m/>
    <x v="3"/>
  </r>
  <r>
    <n v="7"/>
    <x v="6"/>
    <n v="8"/>
    <s v="Fourier series"/>
    <s v="Roelof"/>
    <s v="Yes"/>
    <s v="Yes"/>
    <m/>
    <m/>
    <m/>
    <x v="0"/>
    <m/>
    <x v="3"/>
  </r>
  <r>
    <n v="7"/>
    <x v="6"/>
    <n v="9"/>
    <s v="The Riemann zeta function"/>
    <s v="Roelof"/>
    <s v="Yes"/>
    <s v="Yes"/>
    <m/>
    <m/>
    <m/>
    <x v="0"/>
    <m/>
    <x v="3"/>
  </r>
  <r>
    <n v="7"/>
    <x v="6"/>
    <n v="10"/>
    <s v="Catalan’s constant"/>
    <s v="Roelof"/>
    <s v="Yes"/>
    <s v="Yes"/>
    <m/>
    <m/>
    <m/>
    <x v="0"/>
    <m/>
    <x v="3"/>
  </r>
  <r>
    <n v="7"/>
    <x v="6"/>
    <n v="11"/>
    <s v="Generating functions"/>
    <s v="Roelof"/>
    <s v="Yes"/>
    <s v="Yes"/>
    <m/>
    <m/>
    <m/>
    <x v="0"/>
    <m/>
    <x v="3"/>
  </r>
  <r>
    <n v="8"/>
    <x v="7"/>
    <n v="1"/>
    <s v="Functions of two or more variables"/>
    <m/>
    <m/>
    <m/>
    <m/>
    <m/>
    <m/>
    <x v="0"/>
    <m/>
    <x v="0"/>
  </r>
  <r>
    <n v="8"/>
    <x v="7"/>
    <n v="2"/>
    <s v="Properties of functions"/>
    <m/>
    <m/>
    <m/>
    <m/>
    <m/>
    <m/>
    <x v="0"/>
    <m/>
    <x v="0"/>
  </r>
  <r>
    <n v="8"/>
    <x v="7"/>
    <n v="3"/>
    <s v="Curves in R^3"/>
    <m/>
    <m/>
    <m/>
    <m/>
    <m/>
    <m/>
    <x v="0"/>
    <m/>
    <x v="0"/>
  </r>
  <r>
    <n v="8"/>
    <x v="7"/>
    <n v="4"/>
    <s v="Surfaces in R^3"/>
    <m/>
    <m/>
    <m/>
    <m/>
    <m/>
    <m/>
    <x v="0"/>
    <m/>
    <x v="0"/>
  </r>
  <r>
    <n v="8"/>
    <x v="7"/>
    <n v="5"/>
    <s v="Level curves and surfaces"/>
    <m/>
    <m/>
    <m/>
    <m/>
    <m/>
    <m/>
    <x v="0"/>
    <m/>
    <x v="0"/>
  </r>
  <r>
    <n v="8"/>
    <x v="7"/>
    <n v="6"/>
    <s v="Limits and continuity"/>
    <m/>
    <m/>
    <m/>
    <m/>
    <m/>
    <m/>
    <x v="0"/>
    <m/>
    <x v="0"/>
  </r>
  <r>
    <n v="8"/>
    <x v="7"/>
    <n v="7"/>
    <s v="Nonlinear systems in two variables"/>
    <m/>
    <m/>
    <m/>
    <m/>
    <m/>
    <m/>
    <x v="0"/>
    <m/>
    <x v="0"/>
  </r>
  <r>
    <n v="9"/>
    <x v="8"/>
    <n v="1"/>
    <s v="Partial derivatives"/>
    <m/>
    <m/>
    <m/>
    <m/>
    <m/>
    <m/>
    <x v="0"/>
    <m/>
    <x v="0"/>
  </r>
  <r>
    <n v="9"/>
    <x v="8"/>
    <n v="2"/>
    <s v="Directional derivative and gradient"/>
    <m/>
    <m/>
    <m/>
    <m/>
    <m/>
    <m/>
    <x v="0"/>
    <m/>
    <x v="0"/>
  </r>
  <r>
    <n v="9"/>
    <x v="8"/>
    <n v="3"/>
    <s v="Approximating functions and differentiability"/>
    <m/>
    <m/>
    <m/>
    <m/>
    <m/>
    <m/>
    <x v="0"/>
    <m/>
    <x v="0"/>
  </r>
  <r>
    <n v="9"/>
    <x v="8"/>
    <n v="4"/>
    <s v="Local extrema"/>
    <m/>
    <m/>
    <m/>
    <m/>
    <m/>
    <m/>
    <x v="0"/>
    <m/>
    <x v="0"/>
  </r>
  <r>
    <n v="9"/>
    <x v="8"/>
    <n v="5"/>
    <s v="Global extrema"/>
    <m/>
    <m/>
    <m/>
    <m/>
    <m/>
    <m/>
    <x v="0"/>
    <m/>
    <x v="0"/>
  </r>
  <r>
    <n v="9"/>
    <x v="8"/>
    <n v="6"/>
    <s v="Optimisation under equality constraints"/>
    <m/>
    <m/>
    <m/>
    <m/>
    <m/>
    <m/>
    <x v="0"/>
    <m/>
    <x v="0"/>
  </r>
  <r>
    <n v="10"/>
    <x v="9"/>
    <n v="1"/>
    <s v="Double integrals"/>
    <s v="Roelof"/>
    <s v="Yes"/>
    <m/>
    <m/>
    <m/>
    <m/>
    <x v="0"/>
    <m/>
    <x v="1"/>
  </r>
  <r>
    <n v="10"/>
    <x v="9"/>
    <n v="2"/>
    <s v="Coordinate transformations in R^2"/>
    <s v="Roelof"/>
    <s v="Yes"/>
    <m/>
    <m/>
    <m/>
    <m/>
    <x v="0"/>
    <m/>
    <x v="1"/>
  </r>
  <r>
    <n v="10"/>
    <x v="9"/>
    <n v="3"/>
    <s v="Triple integrals"/>
    <s v="Roelof"/>
    <s v="Yes"/>
    <m/>
    <m/>
    <m/>
    <m/>
    <x v="0"/>
    <m/>
    <x v="1"/>
  </r>
  <r>
    <n v="10"/>
    <x v="9"/>
    <n v="4"/>
    <s v="Coordinate transformations in R^3"/>
    <s v="Roelof"/>
    <s v="Yes"/>
    <m/>
    <m/>
    <m/>
    <m/>
    <x v="0"/>
    <m/>
    <x v="1"/>
  </r>
  <r>
    <n v="10"/>
    <x v="9"/>
    <n v="5"/>
    <s v="Multivariable integrals"/>
    <m/>
    <m/>
    <m/>
    <m/>
    <m/>
    <m/>
    <x v="0"/>
    <m/>
    <x v="0"/>
  </r>
  <r>
    <n v="10"/>
    <x v="9"/>
    <n v="6"/>
    <s v="Line integrals"/>
    <m/>
    <m/>
    <m/>
    <m/>
    <m/>
    <m/>
    <x v="0"/>
    <m/>
    <x v="0"/>
  </r>
  <r>
    <n v="10"/>
    <x v="9"/>
    <n v="7"/>
    <s v="Surface integrals"/>
    <m/>
    <m/>
    <m/>
    <m/>
    <m/>
    <m/>
    <x v="0"/>
    <m/>
    <x v="0"/>
  </r>
  <r>
    <n v="11"/>
    <x v="10"/>
    <n v="1"/>
    <s v="Vector fields"/>
    <m/>
    <m/>
    <m/>
    <m/>
    <m/>
    <m/>
    <x v="0"/>
    <m/>
    <x v="0"/>
  </r>
  <r>
    <n v="11"/>
    <x v="10"/>
    <n v="2"/>
    <s v="Line integrals of vector fields"/>
    <m/>
    <m/>
    <m/>
    <m/>
    <m/>
    <m/>
    <x v="0"/>
    <m/>
    <x v="0"/>
  </r>
  <r>
    <n v="11"/>
    <x v="10"/>
    <n v="3"/>
    <s v="Fundamental theorem of line integrals"/>
    <m/>
    <m/>
    <m/>
    <m/>
    <m/>
    <m/>
    <x v="0"/>
    <m/>
    <x v="0"/>
  </r>
  <r>
    <n v="11"/>
    <x v="10"/>
    <n v="4"/>
    <s v="Green’s theorem"/>
    <m/>
    <m/>
    <m/>
    <m/>
    <m/>
    <m/>
    <x v="0"/>
    <m/>
    <x v="0"/>
  </r>
  <r>
    <n v="11"/>
    <x v="10"/>
    <n v="5"/>
    <s v="Surface integrals of vector fields"/>
    <m/>
    <m/>
    <m/>
    <m/>
    <m/>
    <m/>
    <x v="0"/>
    <m/>
    <x v="0"/>
  </r>
  <r>
    <n v="11"/>
    <x v="10"/>
    <n v="6"/>
    <s v="Divergence and curl"/>
    <m/>
    <m/>
    <m/>
    <m/>
    <m/>
    <m/>
    <x v="0"/>
    <m/>
    <x v="0"/>
  </r>
  <r>
    <n v="11"/>
    <x v="10"/>
    <n v="7"/>
    <s v="Gauß’ theorem"/>
    <m/>
    <m/>
    <m/>
    <m/>
    <m/>
    <m/>
    <x v="0"/>
    <m/>
    <x v="0"/>
  </r>
  <r>
    <n v="11"/>
    <x v="10"/>
    <n v="8"/>
    <s v="Stokes’ theorem"/>
    <m/>
    <m/>
    <m/>
    <m/>
    <m/>
    <m/>
    <x v="0"/>
    <m/>
    <x v="0"/>
  </r>
  <r>
    <n v="12"/>
    <x v="11"/>
    <n v="1"/>
    <s v="Classifications and solutions"/>
    <s v="Willem"/>
    <s v="Yes"/>
    <s v="Yes"/>
    <s v="Yes"/>
    <m/>
    <m/>
    <x v="1"/>
    <m/>
    <x v="2"/>
  </r>
  <r>
    <n v="12"/>
    <x v="11"/>
    <n v="2"/>
    <s v="Existence and uniqueness of solutions"/>
    <s v="Willem"/>
    <s v="Yes"/>
    <m/>
    <m/>
    <m/>
    <m/>
    <x v="0"/>
    <m/>
    <x v="1"/>
  </r>
  <r>
    <n v="13"/>
    <x v="12"/>
    <n v="1"/>
    <s v="Slope fields"/>
    <s v="Willem"/>
    <s v="Yes"/>
    <s v="Yes"/>
    <s v="Yes"/>
    <m/>
    <m/>
    <x v="1"/>
    <m/>
    <x v="2"/>
  </r>
  <r>
    <n v="13"/>
    <x v="12"/>
    <n v="2"/>
    <s v="First-order autonomous differential equations"/>
    <s v="Willem"/>
    <s v="Yes"/>
    <m/>
    <m/>
    <m/>
    <m/>
    <x v="0"/>
    <m/>
    <x v="1"/>
  </r>
  <r>
    <n v="13"/>
    <x v="12"/>
    <n v="3"/>
    <s v="Separable differential equations"/>
    <s v="Willem"/>
    <s v="Yes"/>
    <m/>
    <m/>
    <m/>
    <m/>
    <x v="0"/>
    <m/>
    <x v="1"/>
  </r>
  <r>
    <n v="13"/>
    <x v="12"/>
    <n v="4"/>
    <s v="First-order linear differential equations"/>
    <s v="Willem"/>
    <s v="Yes"/>
    <m/>
    <m/>
    <m/>
    <m/>
    <x v="0"/>
    <m/>
    <x v="1"/>
  </r>
  <r>
    <n v="13"/>
    <x v="12"/>
    <n v="5"/>
    <s v="Exact differential equations"/>
    <s v="Willem"/>
    <s v="Yes"/>
    <m/>
    <m/>
    <m/>
    <m/>
    <x v="0"/>
    <m/>
    <x v="1"/>
  </r>
  <r>
    <n v="13"/>
    <x v="12"/>
    <n v="6"/>
    <s v="Series solutions"/>
    <s v="Willem"/>
    <s v="Yes"/>
    <m/>
    <m/>
    <m/>
    <m/>
    <x v="0"/>
    <m/>
    <x v="1"/>
  </r>
  <r>
    <n v="13"/>
    <x v="12"/>
    <n v="7"/>
    <s v="Approximating solutions"/>
    <s v="Dennis"/>
    <s v="Yes"/>
    <s v="Yes"/>
    <m/>
    <m/>
    <m/>
    <x v="0"/>
    <m/>
    <x v="3"/>
  </r>
  <r>
    <n v="14"/>
    <x v="13"/>
    <n v="1"/>
    <s v="Direction fields and solutions"/>
    <m/>
    <m/>
    <m/>
    <m/>
    <m/>
    <m/>
    <x v="0"/>
    <m/>
    <x v="0"/>
  </r>
  <r>
    <n v="14"/>
    <x v="13"/>
    <n v="2"/>
    <s v="Homogeneous problems with constant coefficients"/>
    <s v="Willem"/>
    <s v="Yes"/>
    <s v="Yes"/>
    <s v="Yes"/>
    <m/>
    <m/>
    <x v="1"/>
    <m/>
    <x v="2"/>
  </r>
  <r>
    <n v="14"/>
    <x v="13"/>
    <n v="3"/>
    <s v="Inhomogeneous problems with constant coefficients"/>
    <s v="Willem"/>
    <s v="Yes"/>
    <m/>
    <m/>
    <m/>
    <m/>
    <x v="0"/>
    <m/>
    <x v="1"/>
  </r>
  <r>
    <n v="14"/>
    <x v="13"/>
    <n v="4"/>
    <s v="Problems with nonconstant coefficients"/>
    <m/>
    <m/>
    <m/>
    <m/>
    <m/>
    <m/>
    <x v="0"/>
    <m/>
    <x v="0"/>
  </r>
  <r>
    <n v="14"/>
    <x v="13"/>
    <n v="5"/>
    <s v="Series solutions"/>
    <s v="Willem"/>
    <s v="Yes"/>
    <m/>
    <m/>
    <m/>
    <m/>
    <x v="0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B58F2-15BA-48CC-9D3C-D95F18DD6BA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9" firstHeaderRow="1" firstDataRow="2" firstDataCol="1"/>
  <pivotFields count="13">
    <pivotField showAll="0"/>
    <pivotField axis="axisRow" showAll="0">
      <items count="15">
        <item x="3"/>
        <item x="12"/>
        <item x="2"/>
        <item x="7"/>
        <item x="4"/>
        <item x="11"/>
        <item x="9"/>
        <item x="0"/>
        <item x="8"/>
        <item x="13"/>
        <item x="5"/>
        <item x="6"/>
        <item x="1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>
      <items count="9">
        <item x="4"/>
        <item m="1" x="6"/>
        <item x="3"/>
        <item x="5"/>
        <item x="2"/>
        <item m="1" x="7"/>
        <item x="0"/>
        <item x="1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Stag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C5604-23FE-4DDB-ABD9-0A49CF38170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8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axis="axisCol" dataField="1" showAll="0">
      <items count="9">
        <item x="4"/>
        <item m="1" x="6"/>
        <item x="3"/>
        <item x="5"/>
        <item x="2"/>
        <item m="1" x="7"/>
        <item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2"/>
  </colFields>
  <colItems count="7">
    <i>
      <x/>
    </i>
    <i>
      <x v="2"/>
    </i>
    <i>
      <x v="3"/>
    </i>
    <i>
      <x v="4"/>
    </i>
    <i>
      <x v="6"/>
    </i>
    <i>
      <x v="7"/>
    </i>
    <i t="grand">
      <x/>
    </i>
  </colItems>
  <dataFields count="1">
    <dataField name="Count of Stag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D5C4E-D762-4910-8FBE-69287B330E16}" name="Table1" displayName="Table1" ref="A1:M97" totalsRowShown="0" headerRowDxfId="14" tableBorderDxfId="13">
  <autoFilter ref="A1:M97" xr:uid="{280D5C4E-D762-4910-8FBE-69287B330E16}"/>
  <tableColumns count="13">
    <tableColumn id="11" xr3:uid="{6F1ECC4C-CCE5-4E42-9A85-E0928105B6C2}" name="Chapter" dataDxfId="12"/>
    <tableColumn id="12" xr3:uid="{37D238DE-032F-4835-97FA-FF760CB792E4}" name="Ch.Name" dataDxfId="11"/>
    <tableColumn id="2" xr3:uid="{4B6F4398-6885-4CB4-8800-C856D5BCB7D8}" name="Section" dataDxfId="10"/>
    <tableColumn id="3" xr3:uid="{A756D49D-568B-4D97-A79F-B2CE4DCFBF1F}" name="Sec.Name" dataDxfId="9"/>
    <tableColumn id="4" xr3:uid="{07E620AB-A645-44D6-9C8D-286F1051C4E3}" name="Author" dataDxfId="8"/>
    <tableColumn id="1" xr3:uid="{DBEDCACB-5EF4-4E1B-AFA6-25354A6B568E}" name="Early stages" dataDxfId="7"/>
    <tableColumn id="5" xr3:uid="{22E6C9E9-FB45-4895-B9A1-F900C479187F}" name="Ready for review 1" dataDxfId="6"/>
    <tableColumn id="6" xr3:uid="{652BBADF-C82C-44CD-8BFF-9A6A42CD8D5F}" name="Review 1 completed" dataDxfId="5"/>
    <tableColumn id="7" xr3:uid="{6AD1D3ED-7C90-4AB4-BDD4-FAD8323F263A}" name="Ready for review 2" dataDxfId="4"/>
    <tableColumn id="8" xr3:uid="{772537FC-E2F0-4EB8-B495-DB2A6061F551}" name="Review 2 completed" dataDxfId="3"/>
    <tableColumn id="9" xr3:uid="{B72F70F1-06A5-4289-B7A9-F39A3E9F4117}" name="Part of pilot" dataDxfId="2"/>
    <tableColumn id="10" xr3:uid="{B9ECF62A-600B-4674-A7E6-BCE1A31D0422}" name="Finished" dataDxfId="1"/>
    <tableColumn id="13" xr3:uid="{539368AA-D9F9-4198-BDBF-52AB44429151}" name="Stage" dataDxfId="0">
      <calculatedColumnFormula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EBE4-510B-4B4D-A4B0-EBBC09C8CD55}">
  <dimension ref="B1:U16"/>
  <sheetViews>
    <sheetView topLeftCell="G1" workbookViewId="0">
      <selection activeCell="H3" sqref="H3"/>
    </sheetView>
  </sheetViews>
  <sheetFormatPr defaultRowHeight="15" x14ac:dyDescent="0.25"/>
  <cols>
    <col min="2" max="2" width="19.28515625" bestFit="1" customWidth="1"/>
    <col min="3" max="3" width="11.140625" bestFit="1" customWidth="1"/>
    <col min="4" max="4" width="18.140625" bestFit="1" customWidth="1"/>
    <col min="5" max="5" width="19.5703125" customWidth="1"/>
    <col min="6" max="6" width="8" bestFit="1" customWidth="1"/>
    <col min="7" max="7" width="47.5703125" bestFit="1" customWidth="1"/>
    <col min="8" max="8" width="13.7109375" bestFit="1" customWidth="1"/>
    <col min="9" max="9" width="17.7109375" bestFit="1" customWidth="1"/>
    <col min="10" max="10" width="19.28515625" bestFit="1" customWidth="1"/>
    <col min="11" max="11" width="17.7109375" bestFit="1" customWidth="1"/>
    <col min="12" max="12" width="19.28515625" bestFit="1" customWidth="1"/>
    <col min="13" max="13" width="8.5703125" bestFit="1" customWidth="1"/>
    <col min="15" max="15" width="5.140625" bestFit="1" customWidth="1"/>
    <col min="16" max="16" width="13.7109375" bestFit="1" customWidth="1"/>
    <col min="17" max="17" width="17.7109375" bestFit="1" customWidth="1"/>
    <col min="18" max="18" width="19.28515625" bestFit="1" customWidth="1"/>
    <col min="19" max="19" width="17.7109375" bestFit="1" customWidth="1"/>
    <col min="20" max="20" width="19.28515625" bestFit="1" customWidth="1"/>
    <col min="21" max="21" width="8.5703125" bestFit="1" customWidth="1"/>
  </cols>
  <sheetData>
    <row r="1" spans="2:21" x14ac:dyDescent="0.25">
      <c r="H1" s="53" t="s">
        <v>134</v>
      </c>
      <c r="I1" s="53"/>
      <c r="J1" s="53"/>
      <c r="K1" s="53"/>
      <c r="L1" s="53"/>
      <c r="M1" s="53"/>
      <c r="P1" s="53" t="s">
        <v>134</v>
      </c>
      <c r="Q1" s="53"/>
      <c r="R1" s="53"/>
      <c r="S1" s="53"/>
      <c r="T1" s="53"/>
      <c r="U1" s="53"/>
    </row>
    <row r="2" spans="2:21" x14ac:dyDescent="0.25">
      <c r="B2" s="35" t="s">
        <v>117</v>
      </c>
      <c r="C2" s="36" t="s">
        <v>130</v>
      </c>
      <c r="D2" s="36" t="s">
        <v>120</v>
      </c>
      <c r="F2" s="35" t="s">
        <v>53</v>
      </c>
      <c r="G2" s="36" t="s">
        <v>0</v>
      </c>
      <c r="H2" s="36" t="s">
        <v>136</v>
      </c>
      <c r="I2" s="36" t="s">
        <v>124</v>
      </c>
      <c r="J2" s="36" t="s">
        <v>123</v>
      </c>
      <c r="K2" s="36" t="s">
        <v>122</v>
      </c>
      <c r="L2" s="36" t="s">
        <v>121</v>
      </c>
      <c r="M2" s="37" t="s">
        <v>125</v>
      </c>
      <c r="O2" s="46" t="s">
        <v>135</v>
      </c>
      <c r="P2" s="36" t="s">
        <v>133</v>
      </c>
      <c r="Q2" s="36" t="s">
        <v>124</v>
      </c>
      <c r="R2" s="36" t="s">
        <v>123</v>
      </c>
      <c r="S2" s="36" t="s">
        <v>122</v>
      </c>
      <c r="T2" s="36" t="s">
        <v>121</v>
      </c>
      <c r="U2" s="37" t="s">
        <v>125</v>
      </c>
    </row>
    <row r="3" spans="2:21" x14ac:dyDescent="0.25">
      <c r="B3" s="32" t="s">
        <v>118</v>
      </c>
      <c r="C3" s="13">
        <f>COUNTA(Table1[Sec.Name])</f>
        <v>96</v>
      </c>
      <c r="D3" s="42">
        <f>C3/$C$3</f>
        <v>1</v>
      </c>
      <c r="F3" s="38">
        <v>1</v>
      </c>
      <c r="G3" s="39" t="str">
        <f>INDEX(Table1[Ch.Name],MATCH(Dashboard!$F3,Table1[Chapter],0))</f>
        <v>Numbers and coordinate systems</v>
      </c>
      <c r="H3" s="47" cm="1">
        <f t="array" ref="H3">IFERROR(INDEX('Pivot Chapters'!$B$5:$H$18,MATCH(Dashboard!$G3,'Pivot Chapters'!$A$5:$A$18,0),_xlfn.XMATCH(Dashboard!H$2,'Pivot Chapters'!$B$4:$H$4,0,1)),0)</f>
        <v>0</v>
      </c>
      <c r="I3" s="47" cm="1">
        <f t="array" ref="I3">IFERROR(INDEX('Pivot Chapters'!$B$5:$H$18,MATCH(Dashboard!$G3,'Pivot Chapters'!$A$5:$A$18,0),_xlfn.XMATCH(Dashboard!I$2,'Pivot Chapters'!$B$4:$H$4,0,1)),0)</f>
        <v>1</v>
      </c>
      <c r="J3" s="47" cm="1">
        <f t="array" ref="J3">IFERROR(INDEX('Pivot Chapters'!$B$5:$H$18,MATCH(Dashboard!$G3,'Pivot Chapters'!$A$5:$A$18,0),_xlfn.XMATCH(Dashboard!J$2,'Pivot Chapters'!$B$4:$H$4,0,1)),0)</f>
        <v>3</v>
      </c>
      <c r="K3" s="47" cm="1">
        <f t="array" ref="K3">IFERROR(INDEX('Pivot Chapters'!$B$5:$H$18,MATCH(Dashboard!$G3,'Pivot Chapters'!$A$5:$A$18,0),_xlfn.XMATCH(Dashboard!K$2,'Pivot Chapters'!$B$4:$H$4,0,1)),0)</f>
        <v>0</v>
      </c>
      <c r="L3" s="47" cm="1">
        <f t="array" ref="L3">IFERROR(INDEX('Pivot Chapters'!$B$5:$H$18,MATCH(Dashboard!$G3,'Pivot Chapters'!$A$5:$A$18,0),_xlfn.XMATCH(Dashboard!L$2,'Pivot Chapters'!$B$4:$H$4,0,1)),0)</f>
        <v>0</v>
      </c>
      <c r="M3" s="47" cm="1">
        <f t="array" ref="M3">IFERROR(INDEX('Pivot Chapters'!$B$5:$H$18,MATCH(Dashboard!$G3,'Pivot Chapters'!$A$5:$A$18,0),_xlfn.XMATCH(Dashboard!M$2,'Pivot Chapters'!$B$4:$H$4,0,1)),0)</f>
        <v>0</v>
      </c>
      <c r="O3" s="47" t="s">
        <v>5</v>
      </c>
      <c r="P3" s="47" cm="1">
        <f t="array" ref="P3">IFERROR(INDEX('Pivot Pilots'!$B$5:$H$7,MATCH($O3,'Pivot Pilots'!$A$5:$A$6,0),_xlfn.XMATCH(P$2,'Pivot Pilots'!$B$4:$H$4,0,1)),0)</f>
        <v>0</v>
      </c>
      <c r="Q3" s="47" cm="1">
        <f t="array" ref="Q3">IFERROR(INDEX('Pivot Pilots'!$B$5:$H$7,MATCH($O3,'Pivot Pilots'!$A$5:$A$6,0),_xlfn.XMATCH(Q$2,'Pivot Pilots'!$B$4:$H$4,0,1)),0)</f>
        <v>0</v>
      </c>
      <c r="R3" s="47" cm="1">
        <f t="array" ref="R3">IFERROR(INDEX('Pivot Pilots'!$B$5:$H$7,MATCH($O3,'Pivot Pilots'!$A$5:$A$6,0),_xlfn.XMATCH(R$2,'Pivot Pilots'!$B$4:$H$4,0,1)),0)</f>
        <v>10</v>
      </c>
      <c r="S3" s="47" cm="1">
        <f t="array" ref="S3">IFERROR(INDEX('Pivot Pilots'!$B$5:$H$7,MATCH($O3,'Pivot Pilots'!$A$5:$A$6,0),_xlfn.XMATCH(S$2,'Pivot Pilots'!$B$4:$H$4,0,1)),0)</f>
        <v>12</v>
      </c>
      <c r="T3" s="47" cm="1">
        <f t="array" ref="T3">IFERROR(INDEX('Pivot Pilots'!$B$5:$H$7,MATCH($O3,'Pivot Pilots'!$A$5:$A$6,0),_xlfn.XMATCH(T$2,'Pivot Pilots'!$B$4:$H$4,0,1)),0)</f>
        <v>0</v>
      </c>
      <c r="U3" s="47" cm="1">
        <f t="array" ref="U3">IFERROR(INDEX('Pivot Pilots'!$B$5:$H$7,MATCH($O3,'Pivot Pilots'!$A$5:$A$6,0),_xlfn.XMATCH(U$2,'Pivot Pilots'!$B$4:$H$4,0,1)),0)</f>
        <v>1</v>
      </c>
    </row>
    <row r="4" spans="2:21" x14ac:dyDescent="0.25">
      <c r="B4" s="38" t="s">
        <v>124</v>
      </c>
      <c r="C4" s="39">
        <f>COUNTIF(Table1[Ready for review 1],"Yes")</f>
        <v>52</v>
      </c>
      <c r="D4" s="43">
        <f t="shared" ref="D4:D8" si="0">C4/$C$3</f>
        <v>0.54166666666666663</v>
      </c>
      <c r="F4" s="40">
        <v>2</v>
      </c>
      <c r="G4" s="41" t="str">
        <f>INDEX(Table1[Ch.Name],MATCH(Dashboard!$F4,Table1[Chapter],0))</f>
        <v>Vector algebra</v>
      </c>
      <c r="H4" s="49" cm="1">
        <f t="array" ref="H4">IFERROR(INDEX('Pivot Chapters'!$B$5:$H$18,MATCH(Dashboard!$G4,'Pivot Chapters'!$A$5:$A$18,0),_xlfn.XMATCH(Dashboard!H$2,'Pivot Chapters'!$B$4:$H$4,0,1)),0)</f>
        <v>0</v>
      </c>
      <c r="I4" s="49" cm="1">
        <f t="array" ref="I4">IFERROR(INDEX('Pivot Chapters'!$B$5:$H$18,MATCH(Dashboard!$G4,'Pivot Chapters'!$A$5:$A$18,0),_xlfn.XMATCH(Dashboard!I$2,'Pivot Chapters'!$B$4:$H$4,0,1)),0)</f>
        <v>0</v>
      </c>
      <c r="J4" s="49" cm="1">
        <f t="array" ref="J4">IFERROR(INDEX('Pivot Chapters'!$B$5:$H$18,MATCH(Dashboard!$G4,'Pivot Chapters'!$A$5:$A$18,0),_xlfn.XMATCH(Dashboard!J$2,'Pivot Chapters'!$B$4:$H$4,0,1)),0)</f>
        <v>0</v>
      </c>
      <c r="K4" s="49" cm="1">
        <f t="array" ref="K4">IFERROR(INDEX('Pivot Chapters'!$B$5:$H$18,MATCH(Dashboard!$G4,'Pivot Chapters'!$A$5:$A$18,0),_xlfn.XMATCH(Dashboard!K$2,'Pivot Chapters'!$B$4:$H$4,0,1)),0)</f>
        <v>0</v>
      </c>
      <c r="L4" s="49" cm="1">
        <f t="array" ref="L4">IFERROR(INDEX('Pivot Chapters'!$B$5:$H$18,MATCH(Dashboard!$G4,'Pivot Chapters'!$A$5:$A$18,0),_xlfn.XMATCH(Dashboard!L$2,'Pivot Chapters'!$B$4:$H$4,0,1)),0)</f>
        <v>0</v>
      </c>
      <c r="M4" s="50" cm="1">
        <f t="array" ref="M4">IFERROR(INDEX('Pivot Chapters'!$B$5:$H$18,MATCH(Dashboard!$G4,'Pivot Chapters'!$A$5:$A$18,0),_xlfn.XMATCH(Dashboard!M$2,'Pivot Chapters'!$B$4:$H$4,0,1)),0)</f>
        <v>5</v>
      </c>
      <c r="O4" s="48" t="s">
        <v>32</v>
      </c>
      <c r="P4" s="48" cm="1">
        <f t="array" ref="P4">IFERROR(INDEX('Pivot Pilots'!$B$5:$H$7,MATCH($O4,'Pivot Pilots'!$A$5:$A$6,0),_xlfn.XMATCH(P$2,'Pivot Pilots'!$B$4:$H$4,0,1)),0)</f>
        <v>0</v>
      </c>
      <c r="Q4" s="48" cm="1">
        <f t="array" ref="Q4">IFERROR(INDEX('Pivot Pilots'!$B$5:$H$7,MATCH($O4,'Pivot Pilots'!$A$5:$A$6,0),_xlfn.XMATCH(Q$2,'Pivot Pilots'!$B$4:$H$4,0,1)),0)</f>
        <v>10</v>
      </c>
      <c r="R4" s="48" cm="1">
        <f t="array" ref="R4">IFERROR(INDEX('Pivot Pilots'!$B$5:$H$7,MATCH($O4,'Pivot Pilots'!$A$5:$A$6,0),_xlfn.XMATCH(R$2,'Pivot Pilots'!$B$4:$H$4,0,1)),0)</f>
        <v>0</v>
      </c>
      <c r="S4" s="48" cm="1">
        <f t="array" ref="S4">IFERROR(INDEX('Pivot Pilots'!$B$5:$H$7,MATCH($O4,'Pivot Pilots'!$A$5:$A$6,0),_xlfn.XMATCH(S$2,'Pivot Pilots'!$B$4:$H$4,0,1)),0)</f>
        <v>0</v>
      </c>
      <c r="T4" s="48" cm="1">
        <f t="array" ref="T4">IFERROR(INDEX('Pivot Pilots'!$B$5:$H$7,MATCH($O4,'Pivot Pilots'!$A$5:$A$6,0),_xlfn.XMATCH(T$2,'Pivot Pilots'!$B$4:$H$4,0,1)),0)</f>
        <v>0</v>
      </c>
      <c r="U4" s="48" cm="1">
        <f t="array" ref="U4">IFERROR(INDEX('Pivot Pilots'!$B$5:$H$7,MATCH($O4,'Pivot Pilots'!$A$5:$A$6,0),_xlfn.XMATCH(U$2,'Pivot Pilots'!$B$4:$H$4,0,1)),0)</f>
        <v>0</v>
      </c>
    </row>
    <row r="5" spans="2:21" x14ac:dyDescent="0.25">
      <c r="B5" s="40" t="s">
        <v>123</v>
      </c>
      <c r="C5" s="41">
        <f>COUNTIF(Table1[Review 1 completed],"Yes")</f>
        <v>32</v>
      </c>
      <c r="D5" s="44">
        <f t="shared" si="0"/>
        <v>0.33333333333333331</v>
      </c>
      <c r="F5" s="38">
        <v>3</v>
      </c>
      <c r="G5" s="39" t="str">
        <f>INDEX(Table1[Ch.Name],MATCH(Dashboard!$F5,Table1[Chapter],0))</f>
        <v>Functions and curves</v>
      </c>
      <c r="H5" s="47" cm="1">
        <f t="array" ref="H5">IFERROR(INDEX('Pivot Chapters'!$B$5:$H$18,MATCH(Dashboard!$G5,'Pivot Chapters'!$A$5:$A$18,0),_xlfn.XMATCH(Dashboard!H$2,'Pivot Chapters'!$B$4:$H$4,0,1)),0)</f>
        <v>0</v>
      </c>
      <c r="I5" s="47" cm="1">
        <f t="array" ref="I5">IFERROR(INDEX('Pivot Chapters'!$B$5:$H$18,MATCH(Dashboard!$G5,'Pivot Chapters'!$A$5:$A$18,0),_xlfn.XMATCH(Dashboard!I$2,'Pivot Chapters'!$B$4:$H$4,0,1)),0)</f>
        <v>0</v>
      </c>
      <c r="J5" s="47" cm="1">
        <f t="array" ref="J5">IFERROR(INDEX('Pivot Chapters'!$B$5:$H$18,MATCH(Dashboard!$G5,'Pivot Chapters'!$A$5:$A$18,0),_xlfn.XMATCH(Dashboard!J$2,'Pivot Chapters'!$B$4:$H$4,0,1)),0)</f>
        <v>1</v>
      </c>
      <c r="K5" s="47" cm="1">
        <f t="array" ref="K5">IFERROR(INDEX('Pivot Chapters'!$B$5:$H$18,MATCH(Dashboard!$G5,'Pivot Chapters'!$A$5:$A$18,0),_xlfn.XMATCH(Dashboard!K$2,'Pivot Chapters'!$B$4:$H$4,0,1)),0)</f>
        <v>6</v>
      </c>
      <c r="L5" s="47" cm="1">
        <f t="array" ref="L5">IFERROR(INDEX('Pivot Chapters'!$B$5:$H$18,MATCH(Dashboard!$G5,'Pivot Chapters'!$A$5:$A$18,0),_xlfn.XMATCH(Dashboard!L$2,'Pivot Chapters'!$B$4:$H$4,0,1)),0)</f>
        <v>0</v>
      </c>
      <c r="M5" s="51" cm="1">
        <f t="array" ref="M5">IFERROR(INDEX('Pivot Chapters'!$B$5:$H$18,MATCH(Dashboard!$G5,'Pivot Chapters'!$A$5:$A$18,0),_xlfn.XMATCH(Dashboard!M$2,'Pivot Chapters'!$B$4:$H$4,0,1)),0)</f>
        <v>1</v>
      </c>
    </row>
    <row r="6" spans="2:21" x14ac:dyDescent="0.25">
      <c r="B6" s="38" t="s">
        <v>122</v>
      </c>
      <c r="C6" s="39">
        <f>COUNTIF(Table1[Ready for review 2],"Yes")</f>
        <v>18</v>
      </c>
      <c r="D6" s="43">
        <f t="shared" si="0"/>
        <v>0.1875</v>
      </c>
      <c r="F6" s="40">
        <v>4</v>
      </c>
      <c r="G6" s="41" t="str">
        <f>INDEX(Table1[Ch.Name],MATCH(Dashboard!$F6,Table1[Chapter],0))</f>
        <v>Differentiation</v>
      </c>
      <c r="H6" s="49" cm="1">
        <f t="array" ref="H6">IFERROR(INDEX('Pivot Chapters'!$B$5:$H$18,MATCH(Dashboard!$G6,'Pivot Chapters'!$A$5:$A$18,0),_xlfn.XMATCH(Dashboard!H$2,'Pivot Chapters'!$B$4:$H$4,0,1)),0)</f>
        <v>0</v>
      </c>
      <c r="I6" s="49" cm="1">
        <f t="array" ref="I6">IFERROR(INDEX('Pivot Chapters'!$B$5:$H$18,MATCH(Dashboard!$G6,'Pivot Chapters'!$A$5:$A$18,0),_xlfn.XMATCH(Dashboard!I$2,'Pivot Chapters'!$B$4:$H$4,0,1)),0)</f>
        <v>1</v>
      </c>
      <c r="J6" s="49" cm="1">
        <f t="array" ref="J6">IFERROR(INDEX('Pivot Chapters'!$B$5:$H$18,MATCH(Dashboard!$G6,'Pivot Chapters'!$A$5:$A$18,0),_xlfn.XMATCH(Dashboard!J$2,'Pivot Chapters'!$B$4:$H$4,0,1)),0)</f>
        <v>3</v>
      </c>
      <c r="K6" s="49" cm="1">
        <f t="array" ref="K6">IFERROR(INDEX('Pivot Chapters'!$B$5:$H$18,MATCH(Dashboard!$G6,'Pivot Chapters'!$A$5:$A$18,0),_xlfn.XMATCH(Dashboard!K$2,'Pivot Chapters'!$B$4:$H$4,0,1)),0)</f>
        <v>4</v>
      </c>
      <c r="L6" s="49" cm="1">
        <f t="array" ref="L6">IFERROR(INDEX('Pivot Chapters'!$B$5:$H$18,MATCH(Dashboard!$G6,'Pivot Chapters'!$A$5:$A$18,0),_xlfn.XMATCH(Dashboard!L$2,'Pivot Chapters'!$B$4:$H$4,0,1)),0)</f>
        <v>0</v>
      </c>
      <c r="M6" s="50" cm="1">
        <f t="array" ref="M6">IFERROR(INDEX('Pivot Chapters'!$B$5:$H$18,MATCH(Dashboard!$G6,'Pivot Chapters'!$A$5:$A$18,0),_xlfn.XMATCH(Dashboard!M$2,'Pivot Chapters'!$B$4:$H$4,0,1)),0)</f>
        <v>0</v>
      </c>
    </row>
    <row r="7" spans="2:21" x14ac:dyDescent="0.25">
      <c r="B7" s="40" t="s">
        <v>121</v>
      </c>
      <c r="C7" s="41">
        <f>COUNTIF(Table1[Review 2 completed],"Yes")</f>
        <v>6</v>
      </c>
      <c r="D7" s="44">
        <f t="shared" si="0"/>
        <v>6.25E-2</v>
      </c>
      <c r="F7" s="38">
        <v>5</v>
      </c>
      <c r="G7" s="39" t="str">
        <f>INDEX(Table1[Ch.Name],MATCH(Dashboard!$F7,Table1[Chapter],0))</f>
        <v>Integration</v>
      </c>
      <c r="H7" s="47" cm="1">
        <f t="array" ref="H7">IFERROR(INDEX('Pivot Chapters'!$B$5:$H$18,MATCH(Dashboard!$G7,'Pivot Chapters'!$A$5:$A$18,0),_xlfn.XMATCH(Dashboard!H$2,'Pivot Chapters'!$B$4:$H$4,0,1)),0)</f>
        <v>0</v>
      </c>
      <c r="I7" s="47" cm="1">
        <f t="array" ref="I7">IFERROR(INDEX('Pivot Chapters'!$B$5:$H$18,MATCH(Dashboard!$G7,'Pivot Chapters'!$A$5:$A$18,0),_xlfn.XMATCH(Dashboard!I$2,'Pivot Chapters'!$B$4:$H$4,0,1)),0)</f>
        <v>3</v>
      </c>
      <c r="J7" s="47" cm="1">
        <f t="array" ref="J7">IFERROR(INDEX('Pivot Chapters'!$B$5:$H$18,MATCH(Dashboard!$G7,'Pivot Chapters'!$A$5:$A$18,0),_xlfn.XMATCH(Dashboard!J$2,'Pivot Chapters'!$B$4:$H$4,0,1)),0)</f>
        <v>4</v>
      </c>
      <c r="K7" s="47" cm="1">
        <f t="array" ref="K7">IFERROR(INDEX('Pivot Chapters'!$B$5:$H$18,MATCH(Dashboard!$G7,'Pivot Chapters'!$A$5:$A$18,0),_xlfn.XMATCH(Dashboard!K$2,'Pivot Chapters'!$B$4:$H$4,0,1)),0)</f>
        <v>2</v>
      </c>
      <c r="L7" s="47" cm="1">
        <f t="array" ref="L7">IFERROR(INDEX('Pivot Chapters'!$B$5:$H$18,MATCH(Dashboard!$G7,'Pivot Chapters'!$A$5:$A$18,0),_xlfn.XMATCH(Dashboard!L$2,'Pivot Chapters'!$B$4:$H$4,0,1)),0)</f>
        <v>0</v>
      </c>
      <c r="M7" s="51" cm="1">
        <f t="array" ref="M7">IFERROR(INDEX('Pivot Chapters'!$B$5:$H$18,MATCH(Dashboard!$G7,'Pivot Chapters'!$A$5:$A$18,0),_xlfn.XMATCH(Dashboard!M$2,'Pivot Chapters'!$B$4:$H$4,0,1)),0)</f>
        <v>0</v>
      </c>
    </row>
    <row r="8" spans="2:21" x14ac:dyDescent="0.25">
      <c r="B8" s="38" t="s">
        <v>119</v>
      </c>
      <c r="C8" s="39">
        <f>COUNTIF(Table1[Finished],"Yes")</f>
        <v>6</v>
      </c>
      <c r="D8" s="43">
        <f t="shared" si="0"/>
        <v>6.25E-2</v>
      </c>
      <c r="F8" s="40">
        <v>6</v>
      </c>
      <c r="G8" s="41" t="str">
        <f>INDEX(Table1[Ch.Name],MATCH(Dashboard!$F8,Table1[Chapter],0))</f>
        <v>Sequences</v>
      </c>
      <c r="H8" s="49" cm="1">
        <f t="array" ref="H8">IFERROR(INDEX('Pivot Chapters'!$B$5:$H$18,MATCH(Dashboard!$G8,'Pivot Chapters'!$A$5:$A$18,0),_xlfn.XMATCH(Dashboard!H$2,'Pivot Chapters'!$B$4:$H$4,0,1)),0)</f>
        <v>0</v>
      </c>
      <c r="I8" s="49" cm="1">
        <f t="array" ref="I8">IFERROR(INDEX('Pivot Chapters'!$B$5:$H$18,MATCH(Dashboard!$G8,'Pivot Chapters'!$A$5:$A$18,0),_xlfn.XMATCH(Dashboard!I$2,'Pivot Chapters'!$B$4:$H$4,0,1)),0)</f>
        <v>3</v>
      </c>
      <c r="J8" s="49" cm="1">
        <f t="array" ref="J8">IFERROR(INDEX('Pivot Chapters'!$B$5:$H$18,MATCH(Dashboard!$G8,'Pivot Chapters'!$A$5:$A$18,0),_xlfn.XMATCH(Dashboard!J$2,'Pivot Chapters'!$B$4:$H$4,0,1)),0)</f>
        <v>0</v>
      </c>
      <c r="K8" s="49" cm="1">
        <f t="array" ref="K8">IFERROR(INDEX('Pivot Chapters'!$B$5:$H$18,MATCH(Dashboard!$G8,'Pivot Chapters'!$A$5:$A$18,0),_xlfn.XMATCH(Dashboard!K$2,'Pivot Chapters'!$B$4:$H$4,0,1)),0)</f>
        <v>0</v>
      </c>
      <c r="L8" s="49" cm="1">
        <f t="array" ref="L8">IFERROR(INDEX('Pivot Chapters'!$B$5:$H$18,MATCH(Dashboard!$G8,'Pivot Chapters'!$A$5:$A$18,0),_xlfn.XMATCH(Dashboard!L$2,'Pivot Chapters'!$B$4:$H$4,0,1)),0)</f>
        <v>0</v>
      </c>
      <c r="M8" s="50" cm="1">
        <f t="array" ref="M8">IFERROR(INDEX('Pivot Chapters'!$B$5:$H$18,MATCH(Dashboard!$G8,'Pivot Chapters'!$A$5:$A$18,0),_xlfn.XMATCH(Dashboard!M$2,'Pivot Chapters'!$B$4:$H$4,0,1)),0)</f>
        <v>0</v>
      </c>
    </row>
    <row r="9" spans="2:21" x14ac:dyDescent="0.25">
      <c r="F9" s="38">
        <v>7</v>
      </c>
      <c r="G9" s="39" t="str">
        <f>INDEX(Table1[Ch.Name],MATCH(Dashboard!$F9,Table1[Chapter],0))</f>
        <v>Series</v>
      </c>
      <c r="H9" s="47" cm="1">
        <f t="array" ref="H9">IFERROR(INDEX('Pivot Chapters'!$B$5:$H$18,MATCH(Dashboard!$G9,'Pivot Chapters'!$A$5:$A$18,0),_xlfn.XMATCH(Dashboard!H$2,'Pivot Chapters'!$B$4:$H$4,0,1)),0)</f>
        <v>0</v>
      </c>
      <c r="I9" s="47" cm="1">
        <f t="array" ref="I9">IFERROR(INDEX('Pivot Chapters'!$B$5:$H$18,MATCH(Dashboard!$G9,'Pivot Chapters'!$A$5:$A$18,0),_xlfn.XMATCH(Dashboard!I$2,'Pivot Chapters'!$B$4:$H$4,0,1)),0)</f>
        <v>11</v>
      </c>
      <c r="J9" s="47" cm="1">
        <f t="array" ref="J9">IFERROR(INDEX('Pivot Chapters'!$B$5:$H$18,MATCH(Dashboard!$G9,'Pivot Chapters'!$A$5:$A$18,0),_xlfn.XMATCH(Dashboard!J$2,'Pivot Chapters'!$B$4:$H$4,0,1)),0)</f>
        <v>0</v>
      </c>
      <c r="K9" s="47" cm="1">
        <f t="array" ref="K9">IFERROR(INDEX('Pivot Chapters'!$B$5:$H$18,MATCH(Dashboard!$G9,'Pivot Chapters'!$A$5:$A$18,0),_xlfn.XMATCH(Dashboard!K$2,'Pivot Chapters'!$B$4:$H$4,0,1)),0)</f>
        <v>0</v>
      </c>
      <c r="L9" s="47" cm="1">
        <f t="array" ref="L9">IFERROR(INDEX('Pivot Chapters'!$B$5:$H$18,MATCH(Dashboard!$G9,'Pivot Chapters'!$A$5:$A$18,0),_xlfn.XMATCH(Dashboard!L$2,'Pivot Chapters'!$B$4:$H$4,0,1)),0)</f>
        <v>0</v>
      </c>
      <c r="M9" s="51" cm="1">
        <f t="array" ref="M9">IFERROR(INDEX('Pivot Chapters'!$B$5:$H$18,MATCH(Dashboard!$G9,'Pivot Chapters'!$A$5:$A$18,0),_xlfn.XMATCH(Dashboard!M$2,'Pivot Chapters'!$B$4:$H$4,0,1)),0)</f>
        <v>0</v>
      </c>
    </row>
    <row r="10" spans="2:21" x14ac:dyDescent="0.25">
      <c r="F10" s="40">
        <v>8</v>
      </c>
      <c r="G10" s="41" t="str">
        <f>INDEX(Table1[Ch.Name],MATCH(Dashboard!$F10,Table1[Chapter],0))</f>
        <v>Functions, curves and surfaces</v>
      </c>
      <c r="H10" s="49" cm="1">
        <f t="array" ref="H10">IFERROR(INDEX('Pivot Chapters'!$B$5:$H$18,MATCH(Dashboard!$G10,'Pivot Chapters'!$A$5:$A$18,0),_xlfn.XMATCH(Dashboard!H$2,'Pivot Chapters'!$B$4:$H$4,0,1)),0)</f>
        <v>0</v>
      </c>
      <c r="I10" s="49" cm="1">
        <f t="array" ref="I10">IFERROR(INDEX('Pivot Chapters'!$B$5:$H$18,MATCH(Dashboard!$G10,'Pivot Chapters'!$A$5:$A$18,0),_xlfn.XMATCH(Dashboard!I$2,'Pivot Chapters'!$B$4:$H$4,0,1)),0)</f>
        <v>0</v>
      </c>
      <c r="J10" s="49" cm="1">
        <f t="array" ref="J10">IFERROR(INDEX('Pivot Chapters'!$B$5:$H$18,MATCH(Dashboard!$G10,'Pivot Chapters'!$A$5:$A$18,0),_xlfn.XMATCH(Dashboard!J$2,'Pivot Chapters'!$B$4:$H$4,0,1)),0)</f>
        <v>0</v>
      </c>
      <c r="K10" s="49" cm="1">
        <f t="array" ref="K10">IFERROR(INDEX('Pivot Chapters'!$B$5:$H$18,MATCH(Dashboard!$G10,'Pivot Chapters'!$A$5:$A$18,0),_xlfn.XMATCH(Dashboard!K$2,'Pivot Chapters'!$B$4:$H$4,0,1)),0)</f>
        <v>0</v>
      </c>
      <c r="L10" s="49" cm="1">
        <f t="array" ref="L10">IFERROR(INDEX('Pivot Chapters'!$B$5:$H$18,MATCH(Dashboard!$G10,'Pivot Chapters'!$A$5:$A$18,0),_xlfn.XMATCH(Dashboard!L$2,'Pivot Chapters'!$B$4:$H$4,0,1)),0)</f>
        <v>0</v>
      </c>
      <c r="M10" s="50" cm="1">
        <f t="array" ref="M10">IFERROR(INDEX('Pivot Chapters'!$B$5:$H$18,MATCH(Dashboard!$G10,'Pivot Chapters'!$A$5:$A$18,0),_xlfn.XMATCH(Dashboard!M$2,'Pivot Chapters'!$B$4:$H$4,0,1)),0)</f>
        <v>0</v>
      </c>
    </row>
    <row r="11" spans="2:21" x14ac:dyDescent="0.25">
      <c r="F11" s="38">
        <v>9</v>
      </c>
      <c r="G11" s="39" t="str">
        <f>INDEX(Table1[Ch.Name],MATCH(Dashboard!$F11,Table1[Chapter],0))</f>
        <v>Partial differentiation</v>
      </c>
      <c r="H11" s="47" cm="1">
        <f t="array" ref="H11">IFERROR(INDEX('Pivot Chapters'!$B$5:$H$18,MATCH(Dashboard!$G11,'Pivot Chapters'!$A$5:$A$18,0),_xlfn.XMATCH(Dashboard!H$2,'Pivot Chapters'!$B$4:$H$4,0,1)),0)</f>
        <v>0</v>
      </c>
      <c r="I11" s="47" cm="1">
        <f t="array" ref="I11">IFERROR(INDEX('Pivot Chapters'!$B$5:$H$18,MATCH(Dashboard!$G11,'Pivot Chapters'!$A$5:$A$18,0),_xlfn.XMATCH(Dashboard!I$2,'Pivot Chapters'!$B$4:$H$4,0,1)),0)</f>
        <v>0</v>
      </c>
      <c r="J11" s="47" cm="1">
        <f t="array" ref="J11">IFERROR(INDEX('Pivot Chapters'!$B$5:$H$18,MATCH(Dashboard!$G11,'Pivot Chapters'!$A$5:$A$18,0),_xlfn.XMATCH(Dashboard!J$2,'Pivot Chapters'!$B$4:$H$4,0,1)),0)</f>
        <v>0</v>
      </c>
      <c r="K11" s="47" cm="1">
        <f t="array" ref="K11">IFERROR(INDEX('Pivot Chapters'!$B$5:$H$18,MATCH(Dashboard!$G11,'Pivot Chapters'!$A$5:$A$18,0),_xlfn.XMATCH(Dashboard!K$2,'Pivot Chapters'!$B$4:$H$4,0,1)),0)</f>
        <v>0</v>
      </c>
      <c r="L11" s="47" cm="1">
        <f t="array" ref="L11">IFERROR(INDEX('Pivot Chapters'!$B$5:$H$18,MATCH(Dashboard!$G11,'Pivot Chapters'!$A$5:$A$18,0),_xlfn.XMATCH(Dashboard!L$2,'Pivot Chapters'!$B$4:$H$4,0,1)),0)</f>
        <v>0</v>
      </c>
      <c r="M11" s="51" cm="1">
        <f t="array" ref="M11">IFERROR(INDEX('Pivot Chapters'!$B$5:$H$18,MATCH(Dashboard!$G11,'Pivot Chapters'!$A$5:$A$18,0),_xlfn.XMATCH(Dashboard!M$2,'Pivot Chapters'!$B$4:$H$4,0,1)),0)</f>
        <v>0</v>
      </c>
    </row>
    <row r="12" spans="2:21" x14ac:dyDescent="0.25">
      <c r="F12" s="40">
        <v>10</v>
      </c>
      <c r="G12" s="41" t="str">
        <f>INDEX(Table1[Ch.Name],MATCH(Dashboard!$F12,Table1[Chapter],0))</f>
        <v>Multivariable integration</v>
      </c>
      <c r="H12" s="49" cm="1">
        <f t="array" ref="H12">IFERROR(INDEX('Pivot Chapters'!$B$5:$H$18,MATCH(Dashboard!$G12,'Pivot Chapters'!$A$5:$A$18,0),_xlfn.XMATCH(Dashboard!H$2,'Pivot Chapters'!$B$4:$H$4,0,1)),0)</f>
        <v>0</v>
      </c>
      <c r="I12" s="49" cm="1">
        <f t="array" ref="I12">IFERROR(INDEX('Pivot Chapters'!$B$5:$H$18,MATCH(Dashboard!$G12,'Pivot Chapters'!$A$5:$A$18,0),_xlfn.XMATCH(Dashboard!I$2,'Pivot Chapters'!$B$4:$H$4,0,1)),0)</f>
        <v>0</v>
      </c>
      <c r="J12" s="49" cm="1">
        <f t="array" ref="J12">IFERROR(INDEX('Pivot Chapters'!$B$5:$H$18,MATCH(Dashboard!$G12,'Pivot Chapters'!$A$5:$A$18,0),_xlfn.XMATCH(Dashboard!J$2,'Pivot Chapters'!$B$4:$H$4,0,1)),0)</f>
        <v>0</v>
      </c>
      <c r="K12" s="49" cm="1">
        <f t="array" ref="K12">IFERROR(INDEX('Pivot Chapters'!$B$5:$H$18,MATCH(Dashboard!$G12,'Pivot Chapters'!$A$5:$A$18,0),_xlfn.XMATCH(Dashboard!K$2,'Pivot Chapters'!$B$4:$H$4,0,1)),0)</f>
        <v>0</v>
      </c>
      <c r="L12" s="49" cm="1">
        <f t="array" ref="L12">IFERROR(INDEX('Pivot Chapters'!$B$5:$H$18,MATCH(Dashboard!$G12,'Pivot Chapters'!$A$5:$A$18,0),_xlfn.XMATCH(Dashboard!L$2,'Pivot Chapters'!$B$4:$H$4,0,1)),0)</f>
        <v>0</v>
      </c>
      <c r="M12" s="50" cm="1">
        <f t="array" ref="M12">IFERROR(INDEX('Pivot Chapters'!$B$5:$H$18,MATCH(Dashboard!$G12,'Pivot Chapters'!$A$5:$A$18,0),_xlfn.XMATCH(Dashboard!M$2,'Pivot Chapters'!$B$4:$H$4,0,1)),0)</f>
        <v>0</v>
      </c>
    </row>
    <row r="13" spans="2:21" x14ac:dyDescent="0.25">
      <c r="F13" s="38">
        <v>11</v>
      </c>
      <c r="G13" s="39" t="str">
        <f>INDEX(Table1[Ch.Name],MATCH(Dashboard!$F13,Table1[Chapter],0))</f>
        <v>Vector calculus</v>
      </c>
      <c r="H13" s="47" cm="1">
        <f t="array" ref="H13">IFERROR(INDEX('Pivot Chapters'!$B$5:$H$18,MATCH(Dashboard!$G13,'Pivot Chapters'!$A$5:$A$18,0),_xlfn.XMATCH(Dashboard!H$2,'Pivot Chapters'!$B$4:$H$4,0,1)),0)</f>
        <v>0</v>
      </c>
      <c r="I13" s="47" cm="1">
        <f t="array" ref="I13">IFERROR(INDEX('Pivot Chapters'!$B$5:$H$18,MATCH(Dashboard!$G13,'Pivot Chapters'!$A$5:$A$18,0),_xlfn.XMATCH(Dashboard!I$2,'Pivot Chapters'!$B$4:$H$4,0,1)),0)</f>
        <v>0</v>
      </c>
      <c r="J13" s="47" cm="1">
        <f t="array" ref="J13">IFERROR(INDEX('Pivot Chapters'!$B$5:$H$18,MATCH(Dashboard!$G13,'Pivot Chapters'!$A$5:$A$18,0),_xlfn.XMATCH(Dashboard!J$2,'Pivot Chapters'!$B$4:$H$4,0,1)),0)</f>
        <v>0</v>
      </c>
      <c r="K13" s="47" cm="1">
        <f t="array" ref="K13">IFERROR(INDEX('Pivot Chapters'!$B$5:$H$18,MATCH(Dashboard!$G13,'Pivot Chapters'!$A$5:$A$18,0),_xlfn.XMATCH(Dashboard!K$2,'Pivot Chapters'!$B$4:$H$4,0,1)),0)</f>
        <v>0</v>
      </c>
      <c r="L13" s="47" cm="1">
        <f t="array" ref="L13">IFERROR(INDEX('Pivot Chapters'!$B$5:$H$18,MATCH(Dashboard!$G13,'Pivot Chapters'!$A$5:$A$18,0),_xlfn.XMATCH(Dashboard!L$2,'Pivot Chapters'!$B$4:$H$4,0,1)),0)</f>
        <v>0</v>
      </c>
      <c r="M13" s="51" cm="1">
        <f t="array" ref="M13">IFERROR(INDEX('Pivot Chapters'!$B$5:$H$18,MATCH(Dashboard!$G13,'Pivot Chapters'!$A$5:$A$18,0),_xlfn.XMATCH(Dashboard!M$2,'Pivot Chapters'!$B$4:$H$4,0,1)),0)</f>
        <v>0</v>
      </c>
    </row>
    <row r="14" spans="2:21" x14ac:dyDescent="0.25">
      <c r="F14" s="40">
        <v>12</v>
      </c>
      <c r="G14" s="41" t="str">
        <f>INDEX(Table1[Ch.Name],MATCH(Dashboard!$F14,Table1[Chapter],0))</f>
        <v>Introduction to differential equations</v>
      </c>
      <c r="H14" s="49" cm="1">
        <f t="array" ref="H14">IFERROR(INDEX('Pivot Chapters'!$B$5:$H$18,MATCH(Dashboard!$G14,'Pivot Chapters'!$A$5:$A$18,0),_xlfn.XMATCH(Dashboard!H$2,'Pivot Chapters'!$B$4:$H$4,0,1)),0)</f>
        <v>0</v>
      </c>
      <c r="I14" s="49" cm="1">
        <f t="array" ref="I14">IFERROR(INDEX('Pivot Chapters'!$B$5:$H$18,MATCH(Dashboard!$G14,'Pivot Chapters'!$A$5:$A$18,0),_xlfn.XMATCH(Dashboard!I$2,'Pivot Chapters'!$B$4:$H$4,0,1)),0)</f>
        <v>0</v>
      </c>
      <c r="J14" s="49" cm="1">
        <f t="array" ref="J14">IFERROR(INDEX('Pivot Chapters'!$B$5:$H$18,MATCH(Dashboard!$G14,'Pivot Chapters'!$A$5:$A$18,0),_xlfn.XMATCH(Dashboard!J$2,'Pivot Chapters'!$B$4:$H$4,0,1)),0)</f>
        <v>1</v>
      </c>
      <c r="K14" s="49" cm="1">
        <f t="array" ref="K14">IFERROR(INDEX('Pivot Chapters'!$B$5:$H$18,MATCH(Dashboard!$G14,'Pivot Chapters'!$A$5:$A$18,0),_xlfn.XMATCH(Dashboard!K$2,'Pivot Chapters'!$B$4:$H$4,0,1)),0)</f>
        <v>0</v>
      </c>
      <c r="L14" s="49" cm="1">
        <f t="array" ref="L14">IFERROR(INDEX('Pivot Chapters'!$B$5:$H$18,MATCH(Dashboard!$G14,'Pivot Chapters'!$A$5:$A$18,0),_xlfn.XMATCH(Dashboard!L$2,'Pivot Chapters'!$B$4:$H$4,0,1)),0)</f>
        <v>0</v>
      </c>
      <c r="M14" s="50" cm="1">
        <f t="array" ref="M14">IFERROR(INDEX('Pivot Chapters'!$B$5:$H$18,MATCH(Dashboard!$G14,'Pivot Chapters'!$A$5:$A$18,0),_xlfn.XMATCH(Dashboard!M$2,'Pivot Chapters'!$B$4:$H$4,0,1)),0)</f>
        <v>0</v>
      </c>
    </row>
    <row r="15" spans="2:21" x14ac:dyDescent="0.25">
      <c r="F15" s="38">
        <v>13</v>
      </c>
      <c r="G15" s="39" t="str">
        <f>INDEX(Table1[Ch.Name],MATCH(Dashboard!$F15,Table1[Chapter],0))</f>
        <v>First-order ordinary differential equations</v>
      </c>
      <c r="H15" s="47" cm="1">
        <f t="array" ref="H15">IFERROR(INDEX('Pivot Chapters'!$B$5:$H$18,MATCH(Dashboard!$G15,'Pivot Chapters'!$A$5:$A$18,0),_xlfn.XMATCH(Dashboard!H$2,'Pivot Chapters'!$B$4:$H$4,0,1)),0)</f>
        <v>0</v>
      </c>
      <c r="I15" s="47" cm="1">
        <f t="array" ref="I15">IFERROR(INDEX('Pivot Chapters'!$B$5:$H$18,MATCH(Dashboard!$G15,'Pivot Chapters'!$A$5:$A$18,0),_xlfn.XMATCH(Dashboard!I$2,'Pivot Chapters'!$B$4:$H$4,0,1)),0)</f>
        <v>1</v>
      </c>
      <c r="J15" s="47" cm="1">
        <f t="array" ref="J15">IFERROR(INDEX('Pivot Chapters'!$B$5:$H$18,MATCH(Dashboard!$G15,'Pivot Chapters'!$A$5:$A$18,0),_xlfn.XMATCH(Dashboard!J$2,'Pivot Chapters'!$B$4:$H$4,0,1)),0)</f>
        <v>1</v>
      </c>
      <c r="K15" s="47" cm="1">
        <f t="array" ref="K15">IFERROR(INDEX('Pivot Chapters'!$B$5:$H$18,MATCH(Dashboard!$G15,'Pivot Chapters'!$A$5:$A$18,0),_xlfn.XMATCH(Dashboard!K$2,'Pivot Chapters'!$B$4:$H$4,0,1)),0)</f>
        <v>0</v>
      </c>
      <c r="L15" s="47" cm="1">
        <f t="array" ref="L15">IFERROR(INDEX('Pivot Chapters'!$B$5:$H$18,MATCH(Dashboard!$G15,'Pivot Chapters'!$A$5:$A$18,0),_xlfn.XMATCH(Dashboard!L$2,'Pivot Chapters'!$B$4:$H$4,0,1)),0)</f>
        <v>0</v>
      </c>
      <c r="M15" s="51" cm="1">
        <f t="array" ref="M15">IFERROR(INDEX('Pivot Chapters'!$B$5:$H$18,MATCH(Dashboard!$G15,'Pivot Chapters'!$A$5:$A$18,0),_xlfn.XMATCH(Dashboard!M$2,'Pivot Chapters'!$B$4:$H$4,0,1)),0)</f>
        <v>0</v>
      </c>
    </row>
    <row r="16" spans="2:21" x14ac:dyDescent="0.25">
      <c r="F16" s="32">
        <v>14</v>
      </c>
      <c r="G16" s="13" t="str">
        <f>INDEX(Table1[Ch.Name],MATCH(Dashboard!$F16,Table1[Chapter],0))</f>
        <v>Second-order linear ordinary differential equations</v>
      </c>
      <c r="H16" s="48" cm="1">
        <f t="array" ref="H16">IFERROR(INDEX('Pivot Chapters'!$B$5:$H$18,MATCH(Dashboard!$G16,'Pivot Chapters'!$A$5:$A$18,0),_xlfn.XMATCH(Dashboard!H$2,'Pivot Chapters'!$B$4:$H$4,0,1)),0)</f>
        <v>0</v>
      </c>
      <c r="I16" s="48" cm="1">
        <f t="array" ref="I16">IFERROR(INDEX('Pivot Chapters'!$B$5:$H$18,MATCH(Dashboard!$G16,'Pivot Chapters'!$A$5:$A$18,0),_xlfn.XMATCH(Dashboard!I$2,'Pivot Chapters'!$B$4:$H$4,0,1)),0)</f>
        <v>0</v>
      </c>
      <c r="J16" s="48" cm="1">
        <f t="array" ref="J16">IFERROR(INDEX('Pivot Chapters'!$B$5:$H$18,MATCH(Dashboard!$G16,'Pivot Chapters'!$A$5:$A$18,0),_xlfn.XMATCH(Dashboard!J$2,'Pivot Chapters'!$B$4:$H$4,0,1)),0)</f>
        <v>1</v>
      </c>
      <c r="K16" s="48" cm="1">
        <f t="array" ref="K16">IFERROR(INDEX('Pivot Chapters'!$B$5:$H$18,MATCH(Dashboard!$G16,'Pivot Chapters'!$A$5:$A$18,0),_xlfn.XMATCH(Dashboard!K$2,'Pivot Chapters'!$B$4:$H$4,0,1)),0)</f>
        <v>0</v>
      </c>
      <c r="L16" s="48" cm="1">
        <f t="array" ref="L16">IFERROR(INDEX('Pivot Chapters'!$B$5:$H$18,MATCH(Dashboard!$G16,'Pivot Chapters'!$A$5:$A$18,0),_xlfn.XMATCH(Dashboard!L$2,'Pivot Chapters'!$B$4:$H$4,0,1)),0)</f>
        <v>0</v>
      </c>
      <c r="M16" s="52" cm="1">
        <f t="array" ref="M16">IFERROR(INDEX('Pivot Chapters'!$B$5:$H$18,MATCH(Dashboard!$G16,'Pivot Chapters'!$A$5:$A$18,0),_xlfn.XMATCH(Dashboard!M$2,'Pivot Chapters'!$B$4:$H$4,0,1)),0)</f>
        <v>0</v>
      </c>
    </row>
  </sheetData>
  <mergeCells count="2">
    <mergeCell ref="H1:M1"/>
    <mergeCell ref="P1:U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C351-FC13-417D-9B8D-4480E45D40A6}">
  <dimension ref="A3:J19"/>
  <sheetViews>
    <sheetView topLeftCell="F1" workbookViewId="0">
      <selection activeCell="J4" sqref="J4"/>
    </sheetView>
  </sheetViews>
  <sheetFormatPr defaultRowHeight="15" x14ac:dyDescent="0.25"/>
  <cols>
    <col min="1" max="1" width="47.5703125" bestFit="1" customWidth="1"/>
    <col min="2" max="2" width="16.28515625" bestFit="1" customWidth="1"/>
    <col min="3" max="3" width="13.7109375" bestFit="1" customWidth="1"/>
    <col min="4" max="5" width="17.7109375" bestFit="1" customWidth="1"/>
    <col min="6" max="7" width="19.28515625" bestFit="1" customWidth="1"/>
    <col min="8" max="8" width="11" bestFit="1" customWidth="1"/>
    <col min="9" max="10" width="11.28515625" bestFit="1" customWidth="1"/>
  </cols>
  <sheetData>
    <row r="3" spans="1:10" x14ac:dyDescent="0.25">
      <c r="A3" s="33" t="s">
        <v>132</v>
      </c>
      <c r="B3" s="33" t="s">
        <v>128</v>
      </c>
    </row>
    <row r="4" spans="1:10" x14ac:dyDescent="0.25">
      <c r="A4" s="33" t="s">
        <v>126</v>
      </c>
      <c r="B4" t="s">
        <v>125</v>
      </c>
      <c r="C4" t="s">
        <v>133</v>
      </c>
      <c r="D4" t="s">
        <v>124</v>
      </c>
      <c r="E4" t="s">
        <v>122</v>
      </c>
      <c r="F4" t="s">
        <v>123</v>
      </c>
      <c r="G4" t="s">
        <v>121</v>
      </c>
      <c r="H4" t="s">
        <v>138</v>
      </c>
      <c r="I4" t="s">
        <v>136</v>
      </c>
      <c r="J4" t="s">
        <v>127</v>
      </c>
    </row>
    <row r="5" spans="1:10" x14ac:dyDescent="0.25">
      <c r="A5" s="34" t="s">
        <v>106</v>
      </c>
      <c r="D5">
        <v>1</v>
      </c>
      <c r="E5">
        <v>4</v>
      </c>
      <c r="F5">
        <v>3</v>
      </c>
      <c r="I5">
        <v>1</v>
      </c>
      <c r="J5">
        <v>9</v>
      </c>
    </row>
    <row r="6" spans="1:10" x14ac:dyDescent="0.25">
      <c r="A6" s="34" t="s">
        <v>115</v>
      </c>
      <c r="D6">
        <v>1</v>
      </c>
      <c r="F6">
        <v>1</v>
      </c>
      <c r="I6">
        <v>5</v>
      </c>
      <c r="J6">
        <v>7</v>
      </c>
    </row>
    <row r="7" spans="1:10" x14ac:dyDescent="0.25">
      <c r="A7" s="34" t="s">
        <v>64</v>
      </c>
      <c r="B7">
        <v>1</v>
      </c>
      <c r="E7">
        <v>6</v>
      </c>
      <c r="F7">
        <v>1</v>
      </c>
      <c r="H7">
        <v>1</v>
      </c>
      <c r="J7">
        <v>9</v>
      </c>
    </row>
    <row r="8" spans="1:10" x14ac:dyDescent="0.25">
      <c r="A8" s="34" t="s">
        <v>110</v>
      </c>
      <c r="H8">
        <v>7</v>
      </c>
      <c r="J8">
        <v>7</v>
      </c>
    </row>
    <row r="9" spans="1:10" x14ac:dyDescent="0.25">
      <c r="A9" s="34" t="s">
        <v>107</v>
      </c>
      <c r="D9">
        <v>3</v>
      </c>
      <c r="E9">
        <v>2</v>
      </c>
      <c r="F9">
        <v>4</v>
      </c>
      <c r="J9">
        <v>9</v>
      </c>
    </row>
    <row r="10" spans="1:10" x14ac:dyDescent="0.25">
      <c r="A10" s="34" t="s">
        <v>114</v>
      </c>
      <c r="F10">
        <v>1</v>
      </c>
      <c r="I10">
        <v>1</v>
      </c>
      <c r="J10">
        <v>2</v>
      </c>
    </row>
    <row r="11" spans="1:10" x14ac:dyDescent="0.25">
      <c r="A11" s="34" t="s">
        <v>112</v>
      </c>
      <c r="H11">
        <v>3</v>
      </c>
      <c r="I11">
        <v>4</v>
      </c>
      <c r="J11">
        <v>7</v>
      </c>
    </row>
    <row r="12" spans="1:10" x14ac:dyDescent="0.25">
      <c r="A12" s="34" t="s">
        <v>54</v>
      </c>
      <c r="D12">
        <v>1</v>
      </c>
      <c r="F12">
        <v>3</v>
      </c>
      <c r="H12">
        <v>1</v>
      </c>
      <c r="I12">
        <v>2</v>
      </c>
      <c r="J12">
        <v>7</v>
      </c>
    </row>
    <row r="13" spans="1:10" x14ac:dyDescent="0.25">
      <c r="A13" s="34" t="s">
        <v>111</v>
      </c>
      <c r="H13">
        <v>6</v>
      </c>
      <c r="J13">
        <v>6</v>
      </c>
    </row>
    <row r="14" spans="1:10" x14ac:dyDescent="0.25">
      <c r="A14" s="34" t="s">
        <v>116</v>
      </c>
      <c r="F14">
        <v>1</v>
      </c>
      <c r="H14">
        <v>2</v>
      </c>
      <c r="I14">
        <v>2</v>
      </c>
      <c r="J14">
        <v>5</v>
      </c>
    </row>
    <row r="15" spans="1:10" x14ac:dyDescent="0.25">
      <c r="A15" s="34" t="s">
        <v>108</v>
      </c>
      <c r="D15">
        <v>3</v>
      </c>
      <c r="H15">
        <v>1</v>
      </c>
      <c r="J15">
        <v>4</v>
      </c>
    </row>
    <row r="16" spans="1:10" x14ac:dyDescent="0.25">
      <c r="A16" s="34" t="s">
        <v>109</v>
      </c>
      <c r="D16">
        <v>11</v>
      </c>
      <c r="J16">
        <v>11</v>
      </c>
    </row>
    <row r="17" spans="1:10" x14ac:dyDescent="0.25">
      <c r="A17" s="34" t="s">
        <v>58</v>
      </c>
      <c r="B17">
        <v>5</v>
      </c>
      <c r="J17">
        <v>5</v>
      </c>
    </row>
    <row r="18" spans="1:10" x14ac:dyDescent="0.25">
      <c r="A18" s="34" t="s">
        <v>113</v>
      </c>
      <c r="H18">
        <v>8</v>
      </c>
      <c r="J18">
        <v>8</v>
      </c>
    </row>
    <row r="19" spans="1:10" x14ac:dyDescent="0.25">
      <c r="A19" s="34" t="s">
        <v>127</v>
      </c>
      <c r="B19">
        <v>6</v>
      </c>
      <c r="D19">
        <v>20</v>
      </c>
      <c r="E19">
        <v>12</v>
      </c>
      <c r="F19">
        <v>14</v>
      </c>
      <c r="H19">
        <v>29</v>
      </c>
      <c r="I19">
        <v>15</v>
      </c>
      <c r="J19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FA28-D521-4516-84B6-043EE1EF03E4}">
  <dimension ref="A3:H8"/>
  <sheetViews>
    <sheetView workbookViewId="0">
      <selection activeCell="A3" sqref="A3"/>
    </sheetView>
  </sheetViews>
  <sheetFormatPr defaultRowHeight="15" x14ac:dyDescent="0.25"/>
  <cols>
    <col min="1" max="1" width="14" bestFit="1" customWidth="1"/>
    <col min="2" max="2" width="16.28515625" bestFit="1" customWidth="1"/>
    <col min="3" max="4" width="17.7109375" bestFit="1" customWidth="1"/>
    <col min="5" max="5" width="19.28515625" bestFit="1" customWidth="1"/>
    <col min="6" max="6" width="11" bestFit="1" customWidth="1"/>
    <col min="7" max="8" width="11.28515625" bestFit="1" customWidth="1"/>
  </cols>
  <sheetData>
    <row r="3" spans="1:8" x14ac:dyDescent="0.25">
      <c r="A3" s="33" t="s">
        <v>132</v>
      </c>
      <c r="B3" s="33" t="s">
        <v>128</v>
      </c>
    </row>
    <row r="4" spans="1:8" x14ac:dyDescent="0.25">
      <c r="A4" s="33" t="s">
        <v>126</v>
      </c>
      <c r="B4" t="s">
        <v>125</v>
      </c>
      <c r="C4" t="s">
        <v>124</v>
      </c>
      <c r="D4" t="s">
        <v>122</v>
      </c>
      <c r="E4" t="s">
        <v>123</v>
      </c>
      <c r="F4" t="s">
        <v>138</v>
      </c>
      <c r="G4" t="s">
        <v>136</v>
      </c>
      <c r="H4" t="s">
        <v>127</v>
      </c>
    </row>
    <row r="5" spans="1:8" x14ac:dyDescent="0.25">
      <c r="A5" s="34" t="s">
        <v>5</v>
      </c>
      <c r="B5">
        <v>1</v>
      </c>
      <c r="D5">
        <v>12</v>
      </c>
      <c r="E5">
        <v>10</v>
      </c>
      <c r="H5">
        <v>23</v>
      </c>
    </row>
    <row r="6" spans="1:8" x14ac:dyDescent="0.25">
      <c r="A6" s="34" t="s">
        <v>32</v>
      </c>
      <c r="C6">
        <v>10</v>
      </c>
      <c r="H6">
        <v>10</v>
      </c>
    </row>
    <row r="7" spans="1:8" x14ac:dyDescent="0.25">
      <c r="A7" s="34" t="s">
        <v>129</v>
      </c>
      <c r="B7">
        <v>5</v>
      </c>
      <c r="C7">
        <v>10</v>
      </c>
      <c r="E7">
        <v>4</v>
      </c>
      <c r="F7">
        <v>29</v>
      </c>
      <c r="G7">
        <v>15</v>
      </c>
      <c r="H7">
        <v>63</v>
      </c>
    </row>
    <row r="8" spans="1:8" x14ac:dyDescent="0.25">
      <c r="A8" s="34" t="s">
        <v>127</v>
      </c>
      <c r="B8">
        <v>6</v>
      </c>
      <c r="C8">
        <v>20</v>
      </c>
      <c r="D8">
        <v>12</v>
      </c>
      <c r="E8">
        <v>14</v>
      </c>
      <c r="F8">
        <v>29</v>
      </c>
      <c r="G8">
        <v>15</v>
      </c>
      <c r="H8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abSelected="1" workbookViewId="0"/>
  </sheetViews>
  <sheetFormatPr defaultColWidth="227" defaultRowHeight="15" x14ac:dyDescent="0.25"/>
  <cols>
    <col min="1" max="1" width="10.28515625" style="2" bestFit="1" customWidth="1"/>
    <col min="2" max="2" width="31.140625" bestFit="1" customWidth="1"/>
    <col min="3" max="3" width="9.85546875" bestFit="1" customWidth="1"/>
    <col min="4" max="4" width="47.28515625" bestFit="1" customWidth="1"/>
    <col min="5" max="5" width="26.140625" bestFit="1" customWidth="1"/>
    <col min="6" max="6" width="13.5703125" bestFit="1" customWidth="1"/>
    <col min="7" max="7" width="21" style="2" bestFit="1" customWidth="1"/>
    <col min="8" max="8" width="22.5703125" style="2" bestFit="1" customWidth="1"/>
    <col min="9" max="9" width="21" style="2" bestFit="1" customWidth="1"/>
    <col min="10" max="10" width="22.5703125" style="2" bestFit="1" customWidth="1"/>
    <col min="11" max="11" width="16" style="2" bestFit="1" customWidth="1"/>
    <col min="12" max="12" width="11.85546875" style="2" bestFit="1" customWidth="1"/>
    <col min="13" max="13" width="19.28515625" bestFit="1" customWidth="1"/>
  </cols>
  <sheetData>
    <row r="1" spans="1:13" x14ac:dyDescent="0.25">
      <c r="A1" s="17" t="s">
        <v>53</v>
      </c>
      <c r="B1" s="7" t="s">
        <v>104</v>
      </c>
      <c r="C1" s="6" t="s">
        <v>52</v>
      </c>
      <c r="D1" s="4" t="s">
        <v>105</v>
      </c>
      <c r="E1" s="4" t="s">
        <v>137</v>
      </c>
      <c r="F1" s="4" t="s">
        <v>136</v>
      </c>
      <c r="G1" s="23" t="s">
        <v>124</v>
      </c>
      <c r="H1" s="24" t="s">
        <v>123</v>
      </c>
      <c r="I1" s="23" t="s">
        <v>122</v>
      </c>
      <c r="J1" s="24" t="s">
        <v>121</v>
      </c>
      <c r="K1" s="5" t="s">
        <v>1</v>
      </c>
      <c r="L1" s="25" t="s">
        <v>125</v>
      </c>
      <c r="M1" s="45" t="s">
        <v>131</v>
      </c>
    </row>
    <row r="2" spans="1:13" x14ac:dyDescent="0.25">
      <c r="A2" s="18">
        <v>1</v>
      </c>
      <c r="B2" s="8" t="s">
        <v>54</v>
      </c>
      <c r="C2" s="15">
        <v>1</v>
      </c>
      <c r="D2" s="1" t="s">
        <v>55</v>
      </c>
      <c r="E2" s="1"/>
      <c r="F2" s="1"/>
      <c r="G2" s="26"/>
      <c r="H2" s="27"/>
      <c r="I2" s="26"/>
      <c r="J2" s="27"/>
      <c r="K2" s="3"/>
      <c r="L2" s="28"/>
      <c r="M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3" spans="1:13" x14ac:dyDescent="0.25">
      <c r="A3" s="18">
        <v>1</v>
      </c>
      <c r="B3" s="8" t="s">
        <v>54</v>
      </c>
      <c r="C3" s="15">
        <v>2</v>
      </c>
      <c r="D3" s="1" t="s">
        <v>56</v>
      </c>
      <c r="E3" s="1" t="s">
        <v>141</v>
      </c>
      <c r="F3" s="1" t="s">
        <v>3</v>
      </c>
      <c r="G3" s="26"/>
      <c r="H3" s="27"/>
      <c r="I3" s="26"/>
      <c r="J3" s="27"/>
      <c r="K3" s="3"/>
      <c r="L3" s="28"/>
      <c r="M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4" spans="1:13" x14ac:dyDescent="0.25">
      <c r="A4" s="18">
        <v>1</v>
      </c>
      <c r="B4" s="8" t="s">
        <v>54</v>
      </c>
      <c r="C4" s="15">
        <v>3</v>
      </c>
      <c r="D4" s="1" t="s">
        <v>38</v>
      </c>
      <c r="E4" s="1" t="s">
        <v>141</v>
      </c>
      <c r="F4" s="1" t="s">
        <v>3</v>
      </c>
      <c r="G4" s="26" t="s">
        <v>3</v>
      </c>
      <c r="H4" s="27" t="s">
        <v>3</v>
      </c>
      <c r="I4" s="26"/>
      <c r="J4" s="27"/>
      <c r="K4" s="3" t="s">
        <v>5</v>
      </c>
      <c r="L4" s="28"/>
      <c r="M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5" spans="1:13" x14ac:dyDescent="0.25">
      <c r="A5" s="19">
        <v>1</v>
      </c>
      <c r="B5" s="8" t="s">
        <v>54</v>
      </c>
      <c r="C5" s="15">
        <v>4</v>
      </c>
      <c r="D5" s="1" t="s">
        <v>2</v>
      </c>
      <c r="E5" s="1" t="s">
        <v>140</v>
      </c>
      <c r="F5" s="1" t="s">
        <v>3</v>
      </c>
      <c r="G5" s="26" t="s">
        <v>3</v>
      </c>
      <c r="H5" s="27" t="s">
        <v>3</v>
      </c>
      <c r="I5" s="26"/>
      <c r="J5" s="27"/>
      <c r="K5" s="3"/>
      <c r="L5" s="28"/>
      <c r="M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6" spans="1:13" ht="30" x14ac:dyDescent="0.25">
      <c r="A6" s="18">
        <v>1</v>
      </c>
      <c r="B6" s="8" t="s">
        <v>54</v>
      </c>
      <c r="C6" s="15">
        <v>5</v>
      </c>
      <c r="D6" s="1" t="s">
        <v>57</v>
      </c>
      <c r="E6" s="1" t="s">
        <v>140</v>
      </c>
      <c r="F6" s="1" t="s">
        <v>3</v>
      </c>
      <c r="G6" s="26"/>
      <c r="H6" s="27"/>
      <c r="I6" s="26"/>
      <c r="J6" s="27"/>
      <c r="K6" s="3"/>
      <c r="L6" s="28"/>
      <c r="M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" spans="1:13" x14ac:dyDescent="0.25">
      <c r="A7" s="18">
        <v>1</v>
      </c>
      <c r="B7" s="8" t="s">
        <v>54</v>
      </c>
      <c r="C7" s="15">
        <v>6</v>
      </c>
      <c r="D7" s="1" t="s">
        <v>39</v>
      </c>
      <c r="E7" s="1" t="s">
        <v>141</v>
      </c>
      <c r="F7" s="1" t="s">
        <v>3</v>
      </c>
      <c r="G7" s="26" t="s">
        <v>3</v>
      </c>
      <c r="H7" s="27" t="s">
        <v>3</v>
      </c>
      <c r="I7" s="26"/>
      <c r="J7" s="27"/>
      <c r="K7" s="3" t="s">
        <v>5</v>
      </c>
      <c r="L7" s="28"/>
      <c r="M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8" spans="1:13" ht="30" x14ac:dyDescent="0.25">
      <c r="A8" s="18">
        <v>1</v>
      </c>
      <c r="B8" s="8" t="s">
        <v>54</v>
      </c>
      <c r="C8" s="15">
        <v>7</v>
      </c>
      <c r="D8" s="1" t="s">
        <v>35</v>
      </c>
      <c r="E8" s="1" t="s">
        <v>140</v>
      </c>
      <c r="F8" s="1" t="s">
        <v>3</v>
      </c>
      <c r="G8" s="26" t="s">
        <v>3</v>
      </c>
      <c r="H8" s="27"/>
      <c r="I8" s="26"/>
      <c r="J8" s="27"/>
      <c r="K8" s="3"/>
      <c r="L8" s="28"/>
      <c r="M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9" spans="1:13" ht="30" x14ac:dyDescent="0.25">
      <c r="A9" s="18">
        <v>2</v>
      </c>
      <c r="B9" s="8" t="s">
        <v>58</v>
      </c>
      <c r="C9" s="15">
        <v>1</v>
      </c>
      <c r="D9" s="1" t="s">
        <v>59</v>
      </c>
      <c r="E9" s="1" t="s">
        <v>142</v>
      </c>
      <c r="F9" s="1" t="s">
        <v>3</v>
      </c>
      <c r="G9" s="26" t="s">
        <v>3</v>
      </c>
      <c r="H9" s="27" t="s">
        <v>3</v>
      </c>
      <c r="I9" s="26" t="s">
        <v>3</v>
      </c>
      <c r="J9" s="27" t="s">
        <v>3</v>
      </c>
      <c r="K9" s="3"/>
      <c r="L9" s="28" t="s">
        <v>3</v>
      </c>
      <c r="M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0" spans="1:13" ht="30" x14ac:dyDescent="0.25">
      <c r="A10" s="18">
        <v>2</v>
      </c>
      <c r="B10" s="8" t="s">
        <v>58</v>
      </c>
      <c r="C10" s="15">
        <v>2</v>
      </c>
      <c r="D10" s="1" t="s">
        <v>60</v>
      </c>
      <c r="E10" s="1" t="s">
        <v>142</v>
      </c>
      <c r="F10" s="1" t="s">
        <v>3</v>
      </c>
      <c r="G10" s="26" t="s">
        <v>3</v>
      </c>
      <c r="H10" s="27" t="s">
        <v>3</v>
      </c>
      <c r="I10" s="26" t="s">
        <v>3</v>
      </c>
      <c r="J10" s="27" t="s">
        <v>3</v>
      </c>
      <c r="K10" s="3"/>
      <c r="L10" s="28" t="s">
        <v>3</v>
      </c>
      <c r="M1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1" spans="1:13" ht="30" x14ac:dyDescent="0.25">
      <c r="A11" s="18">
        <v>2</v>
      </c>
      <c r="B11" s="8" t="s">
        <v>58</v>
      </c>
      <c r="C11" s="15">
        <v>3</v>
      </c>
      <c r="D11" s="1" t="s">
        <v>61</v>
      </c>
      <c r="E11" s="1" t="s">
        <v>142</v>
      </c>
      <c r="F11" s="1" t="s">
        <v>3</v>
      </c>
      <c r="G11" s="26" t="s">
        <v>3</v>
      </c>
      <c r="H11" s="27" t="s">
        <v>3</v>
      </c>
      <c r="I11" s="26" t="s">
        <v>3</v>
      </c>
      <c r="J11" s="27" t="s">
        <v>3</v>
      </c>
      <c r="K11" s="3"/>
      <c r="L11" s="28" t="s">
        <v>3</v>
      </c>
      <c r="M1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2" spans="1:13" ht="30" x14ac:dyDescent="0.25">
      <c r="A12" s="18">
        <v>2</v>
      </c>
      <c r="B12" s="8" t="s">
        <v>58</v>
      </c>
      <c r="C12" s="15">
        <v>4</v>
      </c>
      <c r="D12" s="1" t="s">
        <v>62</v>
      </c>
      <c r="E12" s="1" t="s">
        <v>142</v>
      </c>
      <c r="F12" s="1" t="s">
        <v>3</v>
      </c>
      <c r="G12" s="26" t="s">
        <v>3</v>
      </c>
      <c r="H12" s="27" t="s">
        <v>3</v>
      </c>
      <c r="I12" s="26" t="s">
        <v>3</v>
      </c>
      <c r="J12" s="27" t="s">
        <v>3</v>
      </c>
      <c r="K12" s="3"/>
      <c r="L12" s="28" t="s">
        <v>3</v>
      </c>
      <c r="M1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3" spans="1:13" ht="30" x14ac:dyDescent="0.25">
      <c r="A13" s="18">
        <v>2</v>
      </c>
      <c r="B13" s="8" t="s">
        <v>58</v>
      </c>
      <c r="C13" s="15">
        <v>5</v>
      </c>
      <c r="D13" s="1" t="s">
        <v>63</v>
      </c>
      <c r="E13" s="1" t="s">
        <v>142</v>
      </c>
      <c r="F13" s="1" t="s">
        <v>3</v>
      </c>
      <c r="G13" s="26" t="s">
        <v>3</v>
      </c>
      <c r="H13" s="27" t="s">
        <v>3</v>
      </c>
      <c r="I13" s="26" t="s">
        <v>3</v>
      </c>
      <c r="J13" s="27" t="s">
        <v>3</v>
      </c>
      <c r="K13" s="3"/>
      <c r="L13" s="28" t="s">
        <v>3</v>
      </c>
      <c r="M1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4" spans="1:13" x14ac:dyDescent="0.25">
      <c r="A14" s="18">
        <v>3</v>
      </c>
      <c r="B14" s="8" t="s">
        <v>64</v>
      </c>
      <c r="C14" s="15">
        <v>1</v>
      </c>
      <c r="D14" s="1" t="s">
        <v>12</v>
      </c>
      <c r="E14" s="1" t="s">
        <v>141</v>
      </c>
      <c r="F14" s="1" t="s">
        <v>3</v>
      </c>
      <c r="G14" s="26" t="s">
        <v>3</v>
      </c>
      <c r="H14" s="27" t="s">
        <v>3</v>
      </c>
      <c r="I14" s="26" t="s">
        <v>3</v>
      </c>
      <c r="J14" s="27"/>
      <c r="K14" s="3" t="s">
        <v>5</v>
      </c>
      <c r="L14" s="28"/>
      <c r="M1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15" spans="1:13" x14ac:dyDescent="0.25">
      <c r="A15" s="18">
        <v>3</v>
      </c>
      <c r="B15" s="8" t="s">
        <v>64</v>
      </c>
      <c r="C15" s="15">
        <v>2</v>
      </c>
      <c r="D15" s="1" t="s">
        <v>13</v>
      </c>
      <c r="E15" s="1" t="s">
        <v>141</v>
      </c>
      <c r="F15" s="1" t="s">
        <v>3</v>
      </c>
      <c r="G15" s="26" t="s">
        <v>3</v>
      </c>
      <c r="H15" s="27" t="s">
        <v>3</v>
      </c>
      <c r="I15" s="26" t="s">
        <v>3</v>
      </c>
      <c r="J15" s="27"/>
      <c r="K15" s="3" t="s">
        <v>5</v>
      </c>
      <c r="L15" s="28"/>
      <c r="M1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16" spans="1:13" x14ac:dyDescent="0.25">
      <c r="A16" s="18">
        <v>3</v>
      </c>
      <c r="B16" s="8" t="s">
        <v>64</v>
      </c>
      <c r="C16" s="15">
        <v>3</v>
      </c>
      <c r="D16" s="1" t="s">
        <v>14</v>
      </c>
      <c r="E16" s="1" t="s">
        <v>141</v>
      </c>
      <c r="F16" s="1" t="s">
        <v>3</v>
      </c>
      <c r="G16" s="26" t="s">
        <v>3</v>
      </c>
      <c r="H16" s="27" t="s">
        <v>3</v>
      </c>
      <c r="I16" s="26"/>
      <c r="J16" s="27"/>
      <c r="K16" s="3"/>
      <c r="L16" s="28"/>
      <c r="M1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17" spans="1:13" ht="60" x14ac:dyDescent="0.25">
      <c r="A17" s="18">
        <v>3</v>
      </c>
      <c r="B17" s="8" t="s">
        <v>64</v>
      </c>
      <c r="C17" s="15">
        <v>4</v>
      </c>
      <c r="D17" s="1" t="s">
        <v>4</v>
      </c>
      <c r="E17" s="1" t="s">
        <v>139</v>
      </c>
      <c r="F17" s="1" t="s">
        <v>3</v>
      </c>
      <c r="G17" s="26" t="s">
        <v>3</v>
      </c>
      <c r="H17" s="27" t="s">
        <v>3</v>
      </c>
      <c r="I17" s="26" t="s">
        <v>3</v>
      </c>
      <c r="J17" s="27" t="s">
        <v>3</v>
      </c>
      <c r="K17" s="3" t="s">
        <v>5</v>
      </c>
      <c r="L17" s="28" t="s">
        <v>3</v>
      </c>
      <c r="M1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Finished</v>
      </c>
    </row>
    <row r="18" spans="1:13" x14ac:dyDescent="0.25">
      <c r="A18" s="18">
        <v>3</v>
      </c>
      <c r="B18" s="8" t="s">
        <v>64</v>
      </c>
      <c r="C18" s="15">
        <v>5</v>
      </c>
      <c r="D18" s="1" t="s">
        <v>6</v>
      </c>
      <c r="E18" s="1" t="s">
        <v>141</v>
      </c>
      <c r="F18" s="1" t="s">
        <v>3</v>
      </c>
      <c r="G18" s="26" t="s">
        <v>3</v>
      </c>
      <c r="H18" s="27" t="s">
        <v>3</v>
      </c>
      <c r="I18" s="26" t="s">
        <v>3</v>
      </c>
      <c r="J18" s="27"/>
      <c r="K18" s="3" t="s">
        <v>5</v>
      </c>
      <c r="L18" s="28"/>
      <c r="M1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19" spans="1:13" x14ac:dyDescent="0.25">
      <c r="A19" s="18">
        <v>3</v>
      </c>
      <c r="B19" s="8" t="s">
        <v>64</v>
      </c>
      <c r="C19" s="15">
        <v>6</v>
      </c>
      <c r="D19" s="1" t="s">
        <v>65</v>
      </c>
      <c r="E19" s="1"/>
      <c r="F19" s="1"/>
      <c r="G19" s="26"/>
      <c r="H19" s="27"/>
      <c r="I19" s="26"/>
      <c r="J19" s="27"/>
      <c r="K19" s="3"/>
      <c r="L19" s="28"/>
      <c r="M1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20" spans="1:13" x14ac:dyDescent="0.25">
      <c r="A20" s="18">
        <v>3</v>
      </c>
      <c r="B20" s="8" t="s">
        <v>64</v>
      </c>
      <c r="C20" s="15">
        <v>7</v>
      </c>
      <c r="D20" s="1" t="s">
        <v>7</v>
      </c>
      <c r="E20" s="1" t="s">
        <v>141</v>
      </c>
      <c r="F20" s="1" t="s">
        <v>3</v>
      </c>
      <c r="G20" s="26" t="s">
        <v>3</v>
      </c>
      <c r="H20" s="27" t="s">
        <v>3</v>
      </c>
      <c r="I20" s="26" t="s">
        <v>3</v>
      </c>
      <c r="J20" s="27"/>
      <c r="K20" s="3" t="s">
        <v>5</v>
      </c>
      <c r="L20" s="28"/>
      <c r="M2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1" spans="1:13" x14ac:dyDescent="0.25">
      <c r="A21" s="18">
        <v>3</v>
      </c>
      <c r="B21" s="8" t="s">
        <v>64</v>
      </c>
      <c r="C21" s="15">
        <v>8</v>
      </c>
      <c r="D21" s="1" t="s">
        <v>8</v>
      </c>
      <c r="E21" s="1" t="s">
        <v>141</v>
      </c>
      <c r="F21" s="1" t="s">
        <v>3</v>
      </c>
      <c r="G21" s="26" t="s">
        <v>3</v>
      </c>
      <c r="H21" s="27" t="s">
        <v>3</v>
      </c>
      <c r="I21" s="26" t="s">
        <v>3</v>
      </c>
      <c r="J21" s="27"/>
      <c r="K21" s="3" t="s">
        <v>5</v>
      </c>
      <c r="L21" s="28"/>
      <c r="M2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2" spans="1:13" x14ac:dyDescent="0.25">
      <c r="A22" s="18">
        <v>3</v>
      </c>
      <c r="B22" s="8" t="s">
        <v>64</v>
      </c>
      <c r="C22" s="15">
        <v>9</v>
      </c>
      <c r="D22" s="1" t="s">
        <v>9</v>
      </c>
      <c r="E22" s="1" t="s">
        <v>141</v>
      </c>
      <c r="F22" s="1" t="s">
        <v>3</v>
      </c>
      <c r="G22" s="26" t="s">
        <v>3</v>
      </c>
      <c r="H22" s="27" t="s">
        <v>3</v>
      </c>
      <c r="I22" s="26" t="s">
        <v>3</v>
      </c>
      <c r="J22" s="27"/>
      <c r="K22" s="3" t="s">
        <v>5</v>
      </c>
      <c r="L22" s="28"/>
      <c r="M2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3" spans="1:13" x14ac:dyDescent="0.25">
      <c r="A23" s="18">
        <v>4</v>
      </c>
      <c r="B23" s="8" t="s">
        <v>106</v>
      </c>
      <c r="C23" s="15">
        <v>1</v>
      </c>
      <c r="D23" s="1" t="s">
        <v>18</v>
      </c>
      <c r="E23" s="1" t="s">
        <v>141</v>
      </c>
      <c r="F23" s="1" t="s">
        <v>3</v>
      </c>
      <c r="G23" s="26" t="s">
        <v>3</v>
      </c>
      <c r="H23" s="27" t="s">
        <v>3</v>
      </c>
      <c r="I23" s="26"/>
      <c r="J23" s="27"/>
      <c r="K23" s="3" t="s">
        <v>5</v>
      </c>
      <c r="L23" s="28"/>
      <c r="M2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24" spans="1:13" x14ac:dyDescent="0.25">
      <c r="A24" s="18">
        <v>4</v>
      </c>
      <c r="B24" s="8" t="s">
        <v>106</v>
      </c>
      <c r="C24" s="15">
        <v>2</v>
      </c>
      <c r="D24" s="1" t="s">
        <v>19</v>
      </c>
      <c r="E24" s="1" t="s">
        <v>141</v>
      </c>
      <c r="F24" s="1" t="s">
        <v>3</v>
      </c>
      <c r="G24" s="26" t="s">
        <v>3</v>
      </c>
      <c r="H24" s="27" t="s">
        <v>3</v>
      </c>
      <c r="I24" s="26" t="s">
        <v>3</v>
      </c>
      <c r="J24" s="27"/>
      <c r="K24" s="3" t="s">
        <v>5</v>
      </c>
      <c r="L24" s="28"/>
      <c r="M2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5" spans="1:13" x14ac:dyDescent="0.25">
      <c r="A25" s="18">
        <v>4</v>
      </c>
      <c r="B25" s="8" t="s">
        <v>106</v>
      </c>
      <c r="C25" s="15">
        <v>3</v>
      </c>
      <c r="D25" s="1" t="s">
        <v>20</v>
      </c>
      <c r="E25" s="1" t="s">
        <v>141</v>
      </c>
      <c r="F25" s="1" t="s">
        <v>3</v>
      </c>
      <c r="G25" s="26" t="s">
        <v>3</v>
      </c>
      <c r="H25" s="27" t="s">
        <v>3</v>
      </c>
      <c r="I25" s="26" t="s">
        <v>3</v>
      </c>
      <c r="J25" s="27"/>
      <c r="K25" s="3" t="s">
        <v>5</v>
      </c>
      <c r="L25" s="28"/>
      <c r="M2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6" spans="1:13" x14ac:dyDescent="0.25">
      <c r="A26" s="18">
        <v>4</v>
      </c>
      <c r="B26" s="8" t="s">
        <v>106</v>
      </c>
      <c r="C26" s="15">
        <v>4</v>
      </c>
      <c r="D26" s="1" t="s">
        <v>21</v>
      </c>
      <c r="E26" s="1" t="s">
        <v>141</v>
      </c>
      <c r="F26" s="1" t="s">
        <v>3</v>
      </c>
      <c r="G26" s="26" t="s">
        <v>3</v>
      </c>
      <c r="H26" s="27" t="s">
        <v>3</v>
      </c>
      <c r="I26" s="26" t="s">
        <v>3</v>
      </c>
      <c r="J26" s="27"/>
      <c r="K26" s="3" t="s">
        <v>5</v>
      </c>
      <c r="L26" s="28"/>
      <c r="M2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27" spans="1:13" x14ac:dyDescent="0.25">
      <c r="A27" s="18">
        <v>4</v>
      </c>
      <c r="B27" s="8" t="s">
        <v>106</v>
      </c>
      <c r="C27" s="15">
        <v>5</v>
      </c>
      <c r="D27" s="1" t="s">
        <v>66</v>
      </c>
      <c r="E27" s="1" t="s">
        <v>141</v>
      </c>
      <c r="F27" s="1" t="s">
        <v>3</v>
      </c>
      <c r="G27" s="26"/>
      <c r="H27" s="27"/>
      <c r="I27" s="26"/>
      <c r="J27" s="27"/>
      <c r="K27" s="3"/>
      <c r="L27" s="28"/>
      <c r="M2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28" spans="1:13" x14ac:dyDescent="0.25">
      <c r="A28" s="18">
        <v>4</v>
      </c>
      <c r="B28" s="8" t="s">
        <v>106</v>
      </c>
      <c r="C28" s="15">
        <v>6</v>
      </c>
      <c r="D28" s="1" t="s">
        <v>28</v>
      </c>
      <c r="E28" s="1" t="s">
        <v>141</v>
      </c>
      <c r="F28" s="1" t="s">
        <v>3</v>
      </c>
      <c r="G28" s="26" t="s">
        <v>3</v>
      </c>
      <c r="H28" s="27" t="s">
        <v>3</v>
      </c>
      <c r="I28" s="26"/>
      <c r="J28" s="27"/>
      <c r="K28" s="3" t="s">
        <v>5</v>
      </c>
      <c r="L28" s="28"/>
      <c r="M2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29" spans="1:13" x14ac:dyDescent="0.25">
      <c r="A29" s="18">
        <v>4</v>
      </c>
      <c r="B29" s="8" t="s">
        <v>106</v>
      </c>
      <c r="C29" s="15">
        <v>7</v>
      </c>
      <c r="D29" s="1" t="s">
        <v>29</v>
      </c>
      <c r="E29" s="1" t="s">
        <v>141</v>
      </c>
      <c r="F29" s="1" t="s">
        <v>3</v>
      </c>
      <c r="G29" s="26" t="s">
        <v>3</v>
      </c>
      <c r="H29" s="27" t="s">
        <v>3</v>
      </c>
      <c r="I29" s="26" t="s">
        <v>3</v>
      </c>
      <c r="J29" s="27"/>
      <c r="K29" s="3" t="s">
        <v>5</v>
      </c>
      <c r="L29" s="28"/>
      <c r="M2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30" spans="1:13" ht="60" x14ac:dyDescent="0.25">
      <c r="A30" s="18">
        <v>4</v>
      </c>
      <c r="B30" s="8" t="s">
        <v>106</v>
      </c>
      <c r="C30" s="15">
        <v>8</v>
      </c>
      <c r="D30" s="1" t="s">
        <v>10</v>
      </c>
      <c r="E30" s="1" t="s">
        <v>139</v>
      </c>
      <c r="F30" s="1" t="s">
        <v>3</v>
      </c>
      <c r="G30" s="26" t="s">
        <v>3</v>
      </c>
      <c r="H30" s="27" t="s">
        <v>3</v>
      </c>
      <c r="I30" s="26"/>
      <c r="J30" s="27"/>
      <c r="K30" s="3"/>
      <c r="L30" s="28"/>
      <c r="M3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31" spans="1:13" x14ac:dyDescent="0.25">
      <c r="A31" s="18">
        <v>4</v>
      </c>
      <c r="B31" s="8" t="s">
        <v>106</v>
      </c>
      <c r="C31" s="15">
        <v>9</v>
      </c>
      <c r="D31" s="1" t="s">
        <v>30</v>
      </c>
      <c r="E31" s="1" t="s">
        <v>141</v>
      </c>
      <c r="F31" s="1" t="s">
        <v>3</v>
      </c>
      <c r="G31" s="26" t="s">
        <v>3</v>
      </c>
      <c r="H31" s="27"/>
      <c r="I31" s="26"/>
      <c r="J31" s="27"/>
      <c r="K31" s="3"/>
      <c r="L31" s="28"/>
      <c r="M3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32" spans="1:13" ht="30" x14ac:dyDescent="0.25">
      <c r="A32" s="18">
        <v>5</v>
      </c>
      <c r="B32" s="8" t="s">
        <v>107</v>
      </c>
      <c r="C32" s="15">
        <v>1</v>
      </c>
      <c r="D32" s="1" t="s">
        <v>15</v>
      </c>
      <c r="E32" s="1" t="s">
        <v>140</v>
      </c>
      <c r="F32" s="1" t="s">
        <v>3</v>
      </c>
      <c r="G32" s="26" t="s">
        <v>3</v>
      </c>
      <c r="H32" s="27" t="s">
        <v>3</v>
      </c>
      <c r="I32" s="26" t="s">
        <v>3</v>
      </c>
      <c r="J32" s="27"/>
      <c r="K32" s="3" t="s">
        <v>5</v>
      </c>
      <c r="L32" s="28"/>
      <c r="M3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33" spans="1:13" ht="30" x14ac:dyDescent="0.25">
      <c r="A33" s="18">
        <v>5</v>
      </c>
      <c r="B33" s="8" t="s">
        <v>107</v>
      </c>
      <c r="C33" s="15">
        <v>2</v>
      </c>
      <c r="D33" s="1" t="s">
        <v>16</v>
      </c>
      <c r="E33" s="1" t="s">
        <v>140</v>
      </c>
      <c r="F33" s="1" t="s">
        <v>3</v>
      </c>
      <c r="G33" s="26" t="s">
        <v>3</v>
      </c>
      <c r="H33" s="27" t="s">
        <v>3</v>
      </c>
      <c r="I33" s="26" t="s">
        <v>3</v>
      </c>
      <c r="J33" s="27"/>
      <c r="K33" s="3" t="s">
        <v>5</v>
      </c>
      <c r="L33" s="28"/>
      <c r="M3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2</v>
      </c>
    </row>
    <row r="34" spans="1:13" ht="30" x14ac:dyDescent="0.25">
      <c r="A34" s="18">
        <v>5</v>
      </c>
      <c r="B34" s="8" t="s">
        <v>107</v>
      </c>
      <c r="C34" s="15">
        <v>3</v>
      </c>
      <c r="D34" s="1" t="s">
        <v>17</v>
      </c>
      <c r="E34" s="1" t="s">
        <v>140</v>
      </c>
      <c r="F34" s="1" t="s">
        <v>3</v>
      </c>
      <c r="G34" s="26" t="s">
        <v>3</v>
      </c>
      <c r="H34" s="27" t="s">
        <v>3</v>
      </c>
      <c r="I34" s="26"/>
      <c r="J34" s="27"/>
      <c r="K34" s="3" t="s">
        <v>5</v>
      </c>
      <c r="L34" s="28"/>
      <c r="M3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35" spans="1:13" ht="30" x14ac:dyDescent="0.25">
      <c r="A35" s="18">
        <v>5</v>
      </c>
      <c r="B35" s="8" t="s">
        <v>107</v>
      </c>
      <c r="C35" s="15">
        <v>4</v>
      </c>
      <c r="D35" s="1" t="s">
        <v>22</v>
      </c>
      <c r="E35" s="1" t="s">
        <v>140</v>
      </c>
      <c r="F35" s="1" t="s">
        <v>3</v>
      </c>
      <c r="G35" s="26" t="s">
        <v>3</v>
      </c>
      <c r="H35" s="27" t="s">
        <v>3</v>
      </c>
      <c r="I35" s="26"/>
      <c r="J35" s="27"/>
      <c r="K35" s="3" t="s">
        <v>5</v>
      </c>
      <c r="L35" s="28"/>
      <c r="M3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36" spans="1:13" ht="30" x14ac:dyDescent="0.25">
      <c r="A36" s="18">
        <v>5</v>
      </c>
      <c r="B36" s="8" t="s">
        <v>107</v>
      </c>
      <c r="C36" s="15">
        <v>5</v>
      </c>
      <c r="D36" s="1" t="s">
        <v>23</v>
      </c>
      <c r="E36" s="1" t="s">
        <v>140</v>
      </c>
      <c r="F36" s="1" t="s">
        <v>3</v>
      </c>
      <c r="G36" s="26" t="s">
        <v>3</v>
      </c>
      <c r="H36" s="27" t="s">
        <v>3</v>
      </c>
      <c r="I36" s="26"/>
      <c r="J36" s="27"/>
      <c r="K36" s="3" t="s">
        <v>5</v>
      </c>
      <c r="L36" s="28"/>
      <c r="M3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37" spans="1:13" ht="30" x14ac:dyDescent="0.25">
      <c r="A37" s="18">
        <v>5</v>
      </c>
      <c r="B37" s="8" t="s">
        <v>107</v>
      </c>
      <c r="C37" s="15">
        <v>6</v>
      </c>
      <c r="D37" s="1" t="s">
        <v>24</v>
      </c>
      <c r="E37" s="1" t="s">
        <v>140</v>
      </c>
      <c r="F37" s="1" t="s">
        <v>3</v>
      </c>
      <c r="G37" s="26" t="s">
        <v>3</v>
      </c>
      <c r="H37" s="27"/>
      <c r="I37" s="26"/>
      <c r="J37" s="27"/>
      <c r="K37" s="3"/>
      <c r="L37" s="28"/>
      <c r="M3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38" spans="1:13" ht="30" x14ac:dyDescent="0.25">
      <c r="A38" s="18">
        <v>5</v>
      </c>
      <c r="B38" s="8" t="s">
        <v>107</v>
      </c>
      <c r="C38" s="15">
        <v>7</v>
      </c>
      <c r="D38" s="1" t="s">
        <v>25</v>
      </c>
      <c r="E38" s="1" t="s">
        <v>140</v>
      </c>
      <c r="F38" s="1" t="s">
        <v>3</v>
      </c>
      <c r="G38" s="26" t="s">
        <v>3</v>
      </c>
      <c r="H38" s="27"/>
      <c r="I38" s="26"/>
      <c r="J38" s="27"/>
      <c r="K38" s="3"/>
      <c r="L38" s="28"/>
      <c r="M3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39" spans="1:13" ht="60" x14ac:dyDescent="0.25">
      <c r="A39" s="18">
        <v>5</v>
      </c>
      <c r="B39" s="8" t="s">
        <v>107</v>
      </c>
      <c r="C39" s="15">
        <v>8</v>
      </c>
      <c r="D39" s="1" t="s">
        <v>26</v>
      </c>
      <c r="E39" s="1" t="s">
        <v>139</v>
      </c>
      <c r="F39" s="1" t="s">
        <v>3</v>
      </c>
      <c r="G39" s="26" t="s">
        <v>3</v>
      </c>
      <c r="H39" s="27" t="s">
        <v>3</v>
      </c>
      <c r="I39" s="26"/>
      <c r="J39" s="27"/>
      <c r="K39" s="3"/>
      <c r="L39" s="28"/>
      <c r="M3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40" spans="1:13" ht="60" x14ac:dyDescent="0.25">
      <c r="A40" s="20">
        <v>5</v>
      </c>
      <c r="B40" s="9" t="s">
        <v>107</v>
      </c>
      <c r="C40" s="15">
        <v>9</v>
      </c>
      <c r="D40" s="1" t="s">
        <v>27</v>
      </c>
      <c r="E40" s="1" t="s">
        <v>139</v>
      </c>
      <c r="F40" s="1" t="s">
        <v>3</v>
      </c>
      <c r="G40" s="26" t="s">
        <v>3</v>
      </c>
      <c r="H40" s="27"/>
      <c r="I40" s="26"/>
      <c r="J40" s="27"/>
      <c r="K40" s="3"/>
      <c r="L40" s="28"/>
      <c r="M4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1" spans="1:13" ht="30" x14ac:dyDescent="0.25">
      <c r="A41" s="18">
        <v>6</v>
      </c>
      <c r="B41" s="8" t="s">
        <v>108</v>
      </c>
      <c r="C41" s="15">
        <v>1</v>
      </c>
      <c r="D41" s="1" t="s">
        <v>31</v>
      </c>
      <c r="E41" s="1" t="s">
        <v>140</v>
      </c>
      <c r="F41" s="1" t="s">
        <v>3</v>
      </c>
      <c r="G41" s="26" t="s">
        <v>3</v>
      </c>
      <c r="H41" s="27"/>
      <c r="I41" s="26"/>
      <c r="J41" s="27"/>
      <c r="K41" s="3" t="s">
        <v>32</v>
      </c>
      <c r="L41" s="28"/>
      <c r="M4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2" spans="1:13" ht="30" x14ac:dyDescent="0.25">
      <c r="A42" s="18">
        <v>6</v>
      </c>
      <c r="B42" s="8" t="s">
        <v>108</v>
      </c>
      <c r="C42" s="15">
        <v>2</v>
      </c>
      <c r="D42" s="1" t="s">
        <v>33</v>
      </c>
      <c r="E42" s="1" t="s">
        <v>140</v>
      </c>
      <c r="F42" s="1" t="s">
        <v>3</v>
      </c>
      <c r="G42" s="26" t="s">
        <v>3</v>
      </c>
      <c r="H42" s="27"/>
      <c r="I42" s="26"/>
      <c r="J42" s="27"/>
      <c r="K42" s="3" t="s">
        <v>32</v>
      </c>
      <c r="L42" s="28"/>
      <c r="M4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3" spans="1:13" ht="30" x14ac:dyDescent="0.25">
      <c r="A43" s="18">
        <v>6</v>
      </c>
      <c r="B43" s="8" t="s">
        <v>108</v>
      </c>
      <c r="C43" s="15">
        <v>3</v>
      </c>
      <c r="D43" s="1" t="s">
        <v>34</v>
      </c>
      <c r="E43" s="1" t="s">
        <v>140</v>
      </c>
      <c r="F43" s="1" t="s">
        <v>3</v>
      </c>
      <c r="G43" s="26" t="s">
        <v>3</v>
      </c>
      <c r="H43" s="27"/>
      <c r="I43" s="26"/>
      <c r="J43" s="27"/>
      <c r="K43" s="3" t="s">
        <v>32</v>
      </c>
      <c r="L43" s="28"/>
      <c r="M4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4" spans="1:13" x14ac:dyDescent="0.25">
      <c r="A44" s="18">
        <v>6</v>
      </c>
      <c r="B44" s="8" t="s">
        <v>108</v>
      </c>
      <c r="C44" s="15">
        <v>4</v>
      </c>
      <c r="D44" s="1" t="s">
        <v>67</v>
      </c>
      <c r="E44" s="1"/>
      <c r="F44" s="1"/>
      <c r="G44" s="26"/>
      <c r="H44" s="27"/>
      <c r="I44" s="26"/>
      <c r="J44" s="27"/>
      <c r="K44" s="3"/>
      <c r="L44" s="28"/>
      <c r="M4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45" spans="1:13" ht="30" x14ac:dyDescent="0.25">
      <c r="A45" s="20">
        <v>7</v>
      </c>
      <c r="B45" s="9" t="s">
        <v>109</v>
      </c>
      <c r="C45" s="15">
        <v>1</v>
      </c>
      <c r="D45" s="1" t="s">
        <v>36</v>
      </c>
      <c r="E45" s="1" t="s">
        <v>140</v>
      </c>
      <c r="F45" s="1" t="s">
        <v>3</v>
      </c>
      <c r="G45" s="26" t="s">
        <v>3</v>
      </c>
      <c r="H45" s="27"/>
      <c r="I45" s="26"/>
      <c r="J45" s="27"/>
      <c r="K45" s="3" t="s">
        <v>32</v>
      </c>
      <c r="L45" s="28"/>
      <c r="M4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6" spans="1:13" ht="30" x14ac:dyDescent="0.25">
      <c r="A46" s="18">
        <v>7</v>
      </c>
      <c r="B46" s="8" t="s">
        <v>109</v>
      </c>
      <c r="C46" s="15">
        <v>2</v>
      </c>
      <c r="D46" s="1" t="s">
        <v>37</v>
      </c>
      <c r="E46" s="1" t="s">
        <v>140</v>
      </c>
      <c r="F46" s="1" t="s">
        <v>3</v>
      </c>
      <c r="G46" s="26" t="s">
        <v>3</v>
      </c>
      <c r="H46" s="27"/>
      <c r="I46" s="26"/>
      <c r="J46" s="27"/>
      <c r="K46" s="3" t="s">
        <v>32</v>
      </c>
      <c r="L46" s="28"/>
      <c r="M4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7" spans="1:13" ht="30" x14ac:dyDescent="0.25">
      <c r="A47" s="18">
        <v>7</v>
      </c>
      <c r="B47" s="8" t="s">
        <v>109</v>
      </c>
      <c r="C47" s="15">
        <v>3</v>
      </c>
      <c r="D47" s="1" t="s">
        <v>43</v>
      </c>
      <c r="E47" s="1" t="s">
        <v>140</v>
      </c>
      <c r="F47" s="1" t="s">
        <v>3</v>
      </c>
      <c r="G47" s="26" t="s">
        <v>3</v>
      </c>
      <c r="H47" s="27"/>
      <c r="I47" s="26"/>
      <c r="J47" s="27"/>
      <c r="K47" s="3" t="s">
        <v>32</v>
      </c>
      <c r="L47" s="28"/>
      <c r="M4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8" spans="1:13" ht="30" x14ac:dyDescent="0.25">
      <c r="A48" s="18">
        <v>7</v>
      </c>
      <c r="B48" s="8" t="s">
        <v>109</v>
      </c>
      <c r="C48" s="15">
        <v>4</v>
      </c>
      <c r="D48" s="1" t="s">
        <v>44</v>
      </c>
      <c r="E48" s="1" t="s">
        <v>140</v>
      </c>
      <c r="F48" s="1" t="s">
        <v>3</v>
      </c>
      <c r="G48" s="26" t="s">
        <v>3</v>
      </c>
      <c r="H48" s="27"/>
      <c r="I48" s="26"/>
      <c r="J48" s="27"/>
      <c r="K48" s="3" t="s">
        <v>32</v>
      </c>
      <c r="L48" s="28"/>
      <c r="M4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49" spans="1:13" ht="30" x14ac:dyDescent="0.25">
      <c r="A49" s="21">
        <v>7</v>
      </c>
      <c r="B49" s="10" t="s">
        <v>109</v>
      </c>
      <c r="C49" s="16">
        <v>5</v>
      </c>
      <c r="D49" s="1" t="s">
        <v>45</v>
      </c>
      <c r="E49" s="11" t="s">
        <v>140</v>
      </c>
      <c r="F49" s="11" t="s">
        <v>3</v>
      </c>
      <c r="G49" s="29" t="s">
        <v>3</v>
      </c>
      <c r="H49" s="30"/>
      <c r="I49" s="29"/>
      <c r="J49" s="30"/>
      <c r="K49" s="12" t="s">
        <v>32</v>
      </c>
      <c r="L49" s="31"/>
      <c r="M4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0" spans="1:13" ht="30" x14ac:dyDescent="0.25">
      <c r="A50" s="21">
        <v>7</v>
      </c>
      <c r="B50" s="10" t="s">
        <v>109</v>
      </c>
      <c r="C50" s="16">
        <v>6</v>
      </c>
      <c r="D50" s="1" t="s">
        <v>46</v>
      </c>
      <c r="E50" s="11" t="s">
        <v>140</v>
      </c>
      <c r="F50" s="11" t="s">
        <v>3</v>
      </c>
      <c r="G50" s="29" t="s">
        <v>3</v>
      </c>
      <c r="H50" s="30"/>
      <c r="I50" s="29"/>
      <c r="J50" s="30"/>
      <c r="K50" s="12" t="s">
        <v>32</v>
      </c>
      <c r="L50" s="31"/>
      <c r="M5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1" spans="1:13" ht="30" x14ac:dyDescent="0.25">
      <c r="A51" s="21">
        <v>7</v>
      </c>
      <c r="B51" s="10" t="s">
        <v>109</v>
      </c>
      <c r="C51" s="16">
        <v>7</v>
      </c>
      <c r="D51" s="1" t="s">
        <v>47</v>
      </c>
      <c r="E51" s="11" t="s">
        <v>140</v>
      </c>
      <c r="F51" s="11" t="s">
        <v>3</v>
      </c>
      <c r="G51" s="29" t="s">
        <v>3</v>
      </c>
      <c r="H51" s="30"/>
      <c r="I51" s="29"/>
      <c r="J51" s="30"/>
      <c r="K51" s="12" t="s">
        <v>32</v>
      </c>
      <c r="L51" s="31"/>
      <c r="M5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2" spans="1:13" ht="30" x14ac:dyDescent="0.25">
      <c r="A52" s="21">
        <v>7</v>
      </c>
      <c r="B52" s="10" t="s">
        <v>109</v>
      </c>
      <c r="C52" s="16">
        <v>8</v>
      </c>
      <c r="D52" s="1" t="s">
        <v>48</v>
      </c>
      <c r="E52" s="11" t="s">
        <v>140</v>
      </c>
      <c r="F52" s="11" t="s">
        <v>3</v>
      </c>
      <c r="G52" s="29" t="s">
        <v>3</v>
      </c>
      <c r="H52" s="30"/>
      <c r="I52" s="29"/>
      <c r="J52" s="30"/>
      <c r="K52" s="12"/>
      <c r="L52" s="31"/>
      <c r="M5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3" spans="1:13" ht="30" x14ac:dyDescent="0.25">
      <c r="A53" s="21">
        <v>7</v>
      </c>
      <c r="B53" s="10" t="s">
        <v>109</v>
      </c>
      <c r="C53" s="16">
        <v>9</v>
      </c>
      <c r="D53" s="1" t="s">
        <v>49</v>
      </c>
      <c r="E53" s="11" t="s">
        <v>140</v>
      </c>
      <c r="F53" s="11" t="s">
        <v>3</v>
      </c>
      <c r="G53" s="29" t="s">
        <v>3</v>
      </c>
      <c r="H53" s="30"/>
      <c r="I53" s="29"/>
      <c r="J53" s="30"/>
      <c r="K53" s="12"/>
      <c r="L53" s="31"/>
      <c r="M5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4" spans="1:13" ht="30" x14ac:dyDescent="0.25">
      <c r="A54" s="22">
        <v>7</v>
      </c>
      <c r="B54" s="14" t="s">
        <v>109</v>
      </c>
      <c r="C54" s="16">
        <v>10</v>
      </c>
      <c r="D54" s="1" t="s">
        <v>50</v>
      </c>
      <c r="E54" s="11" t="s">
        <v>140</v>
      </c>
      <c r="F54" s="11" t="s">
        <v>3</v>
      </c>
      <c r="G54" s="29" t="s">
        <v>3</v>
      </c>
      <c r="H54" s="30"/>
      <c r="I54" s="29"/>
      <c r="J54" s="30"/>
      <c r="K54" s="12"/>
      <c r="L54" s="31"/>
      <c r="M5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5" spans="1:13" ht="30" x14ac:dyDescent="0.25">
      <c r="A55" s="21">
        <v>7</v>
      </c>
      <c r="B55" s="10" t="s">
        <v>109</v>
      </c>
      <c r="C55" s="16">
        <v>11</v>
      </c>
      <c r="D55" s="1" t="s">
        <v>51</v>
      </c>
      <c r="E55" s="11" t="s">
        <v>140</v>
      </c>
      <c r="F55" s="11" t="s">
        <v>3</v>
      </c>
      <c r="G55" s="29" t="s">
        <v>3</v>
      </c>
      <c r="H55" s="30"/>
      <c r="I55" s="29"/>
      <c r="J55" s="30"/>
      <c r="K55" s="12"/>
      <c r="L55" s="31"/>
      <c r="M5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56" spans="1:13" x14ac:dyDescent="0.25">
      <c r="A56" s="21">
        <v>8</v>
      </c>
      <c r="B56" s="10" t="s">
        <v>110</v>
      </c>
      <c r="C56" s="16">
        <v>1</v>
      </c>
      <c r="D56" s="1" t="s">
        <v>68</v>
      </c>
      <c r="E56" s="11"/>
      <c r="F56" s="11"/>
      <c r="G56" s="29"/>
      <c r="H56" s="30"/>
      <c r="I56" s="29"/>
      <c r="J56" s="30"/>
      <c r="K56" s="12"/>
      <c r="L56" s="31"/>
      <c r="M5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57" spans="1:13" x14ac:dyDescent="0.25">
      <c r="A57" s="21">
        <v>8</v>
      </c>
      <c r="B57" s="10" t="s">
        <v>110</v>
      </c>
      <c r="C57" s="16">
        <v>2</v>
      </c>
      <c r="D57" s="1" t="s">
        <v>13</v>
      </c>
      <c r="E57" s="11"/>
      <c r="F57" s="11"/>
      <c r="G57" s="29"/>
      <c r="H57" s="30"/>
      <c r="I57" s="29"/>
      <c r="J57" s="30"/>
      <c r="K57" s="12"/>
      <c r="L57" s="31"/>
      <c r="M5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58" spans="1:13" x14ac:dyDescent="0.25">
      <c r="A58" s="21">
        <v>8</v>
      </c>
      <c r="B58" s="10" t="s">
        <v>110</v>
      </c>
      <c r="C58" s="16">
        <v>3</v>
      </c>
      <c r="D58" s="1" t="s">
        <v>69</v>
      </c>
      <c r="E58" s="11"/>
      <c r="F58" s="11"/>
      <c r="G58" s="29"/>
      <c r="H58" s="30"/>
      <c r="I58" s="29"/>
      <c r="J58" s="30"/>
      <c r="K58" s="12"/>
      <c r="L58" s="31"/>
      <c r="M5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59" spans="1:13" x14ac:dyDescent="0.25">
      <c r="A59" s="21">
        <v>8</v>
      </c>
      <c r="B59" s="10" t="s">
        <v>110</v>
      </c>
      <c r="C59" s="16">
        <v>4</v>
      </c>
      <c r="D59" s="1" t="s">
        <v>70</v>
      </c>
      <c r="E59" s="11"/>
      <c r="F59" s="11"/>
      <c r="G59" s="29"/>
      <c r="H59" s="30"/>
      <c r="I59" s="29"/>
      <c r="J59" s="30"/>
      <c r="K59" s="12"/>
      <c r="L59" s="31"/>
      <c r="M5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0" spans="1:13" x14ac:dyDescent="0.25">
      <c r="A60" s="21">
        <v>8</v>
      </c>
      <c r="B60" s="10" t="s">
        <v>110</v>
      </c>
      <c r="C60" s="16">
        <v>5</v>
      </c>
      <c r="D60" s="1" t="s">
        <v>71</v>
      </c>
      <c r="E60" s="11"/>
      <c r="F60" s="11"/>
      <c r="G60" s="29"/>
      <c r="H60" s="30"/>
      <c r="I60" s="29"/>
      <c r="J60" s="30"/>
      <c r="K60" s="12"/>
      <c r="L60" s="31"/>
      <c r="M6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1" spans="1:13" x14ac:dyDescent="0.25">
      <c r="A61" s="21">
        <v>8</v>
      </c>
      <c r="B61" s="10" t="s">
        <v>110</v>
      </c>
      <c r="C61" s="16">
        <v>6</v>
      </c>
      <c r="D61" s="1" t="s">
        <v>72</v>
      </c>
      <c r="E61" s="11"/>
      <c r="F61" s="11"/>
      <c r="G61" s="29"/>
      <c r="H61" s="30"/>
      <c r="I61" s="29"/>
      <c r="J61" s="30"/>
      <c r="K61" s="12"/>
      <c r="L61" s="31"/>
      <c r="M6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2" spans="1:13" x14ac:dyDescent="0.25">
      <c r="A62" s="21">
        <v>8</v>
      </c>
      <c r="B62" s="10" t="s">
        <v>110</v>
      </c>
      <c r="C62" s="16">
        <v>7</v>
      </c>
      <c r="D62" s="1" t="s">
        <v>73</v>
      </c>
      <c r="E62" s="1"/>
      <c r="F62" s="1"/>
      <c r="G62" s="26"/>
      <c r="H62" s="27"/>
      <c r="I62" s="26"/>
      <c r="J62" s="27"/>
      <c r="K62" s="3"/>
      <c r="L62" s="28"/>
      <c r="M6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3" spans="1:13" x14ac:dyDescent="0.25">
      <c r="A63" s="21">
        <v>9</v>
      </c>
      <c r="B63" s="10" t="s">
        <v>111</v>
      </c>
      <c r="C63" s="16">
        <v>1</v>
      </c>
      <c r="D63" s="1" t="s">
        <v>74</v>
      </c>
      <c r="E63" s="1"/>
      <c r="F63" s="1"/>
      <c r="G63" s="26"/>
      <c r="H63" s="27"/>
      <c r="I63" s="26"/>
      <c r="J63" s="27"/>
      <c r="K63" s="3"/>
      <c r="L63" s="28"/>
      <c r="M6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4" spans="1:13" x14ac:dyDescent="0.25">
      <c r="A64" s="21">
        <v>9</v>
      </c>
      <c r="B64" s="10" t="s">
        <v>111</v>
      </c>
      <c r="C64" s="16">
        <v>2</v>
      </c>
      <c r="D64" s="1" t="s">
        <v>75</v>
      </c>
      <c r="E64" s="1"/>
      <c r="F64" s="1"/>
      <c r="G64" s="26"/>
      <c r="H64" s="27"/>
      <c r="I64" s="26"/>
      <c r="J64" s="27"/>
      <c r="K64" s="3"/>
      <c r="L64" s="28"/>
      <c r="M6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5" spans="1:13" x14ac:dyDescent="0.25">
      <c r="A65" s="21">
        <v>9</v>
      </c>
      <c r="B65" s="10" t="s">
        <v>111</v>
      </c>
      <c r="C65" s="16">
        <v>3</v>
      </c>
      <c r="D65" s="1" t="s">
        <v>76</v>
      </c>
      <c r="E65" s="1"/>
      <c r="F65" s="1"/>
      <c r="G65" s="26"/>
      <c r="H65" s="27"/>
      <c r="I65" s="26"/>
      <c r="J65" s="27"/>
      <c r="K65" s="3"/>
      <c r="L65" s="28"/>
      <c r="M6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6" spans="1:13" x14ac:dyDescent="0.25">
      <c r="A66" s="21">
        <v>9</v>
      </c>
      <c r="B66" s="10" t="s">
        <v>111</v>
      </c>
      <c r="C66" s="16">
        <v>4</v>
      </c>
      <c r="D66" s="1" t="s">
        <v>77</v>
      </c>
      <c r="E66" s="1"/>
      <c r="F66" s="1"/>
      <c r="G66" s="26"/>
      <c r="H66" s="27"/>
      <c r="I66" s="26"/>
      <c r="J66" s="27"/>
      <c r="K66" s="3"/>
      <c r="L66" s="28"/>
      <c r="M6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7" spans="1:13" x14ac:dyDescent="0.25">
      <c r="A67" s="21">
        <v>9</v>
      </c>
      <c r="B67" s="10" t="s">
        <v>111</v>
      </c>
      <c r="C67" s="16">
        <v>5</v>
      </c>
      <c r="D67" s="1" t="s">
        <v>78</v>
      </c>
      <c r="E67" s="11"/>
      <c r="F67" s="11"/>
      <c r="G67" s="29"/>
      <c r="H67" s="30"/>
      <c r="I67" s="29"/>
      <c r="J67" s="30"/>
      <c r="K67" s="12"/>
      <c r="L67" s="31"/>
      <c r="M6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8" spans="1:13" x14ac:dyDescent="0.25">
      <c r="A68" s="21">
        <v>9</v>
      </c>
      <c r="B68" s="10" t="s">
        <v>111</v>
      </c>
      <c r="C68" s="16">
        <v>6</v>
      </c>
      <c r="D68" s="1" t="s">
        <v>79</v>
      </c>
      <c r="E68" s="11"/>
      <c r="F68" s="11"/>
      <c r="G68" s="29"/>
      <c r="H68" s="30"/>
      <c r="I68" s="29"/>
      <c r="J68" s="30"/>
      <c r="K68" s="12"/>
      <c r="L68" s="31"/>
      <c r="M6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69" spans="1:13" ht="30" x14ac:dyDescent="0.25">
      <c r="A69" s="21">
        <v>10</v>
      </c>
      <c r="B69" s="10" t="s">
        <v>112</v>
      </c>
      <c r="C69" s="16">
        <v>1</v>
      </c>
      <c r="D69" s="1" t="s">
        <v>80</v>
      </c>
      <c r="E69" s="1" t="s">
        <v>140</v>
      </c>
      <c r="F69" s="1" t="s">
        <v>3</v>
      </c>
      <c r="G69" s="26"/>
      <c r="H69" s="27"/>
      <c r="I69" s="26"/>
      <c r="J69" s="27"/>
      <c r="K69" s="3"/>
      <c r="L69" s="28"/>
      <c r="M6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0" spans="1:13" ht="30" x14ac:dyDescent="0.25">
      <c r="A70" s="21">
        <v>10</v>
      </c>
      <c r="B70" s="10" t="s">
        <v>112</v>
      </c>
      <c r="C70" s="16">
        <v>2</v>
      </c>
      <c r="D70" s="1" t="s">
        <v>83</v>
      </c>
      <c r="E70" s="1" t="s">
        <v>140</v>
      </c>
      <c r="F70" s="1" t="s">
        <v>3</v>
      </c>
      <c r="G70" s="26"/>
      <c r="H70" s="27"/>
      <c r="I70" s="26"/>
      <c r="J70" s="27"/>
      <c r="K70" s="3"/>
      <c r="L70" s="28"/>
      <c r="M7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1" spans="1:13" ht="30" x14ac:dyDescent="0.25">
      <c r="A71" s="21">
        <v>10</v>
      </c>
      <c r="B71" s="10" t="s">
        <v>112</v>
      </c>
      <c r="C71" s="16">
        <v>3</v>
      </c>
      <c r="D71" s="1" t="s">
        <v>82</v>
      </c>
      <c r="E71" s="1" t="s">
        <v>140</v>
      </c>
      <c r="F71" s="1" t="s">
        <v>3</v>
      </c>
      <c r="G71" s="26"/>
      <c r="H71" s="27"/>
      <c r="I71" s="26"/>
      <c r="J71" s="27"/>
      <c r="K71" s="3"/>
      <c r="L71" s="28"/>
      <c r="M7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2" spans="1:13" ht="30" x14ac:dyDescent="0.25">
      <c r="A72" s="21">
        <v>10</v>
      </c>
      <c r="B72" s="10" t="s">
        <v>112</v>
      </c>
      <c r="C72" s="16">
        <v>4</v>
      </c>
      <c r="D72" s="1" t="s">
        <v>81</v>
      </c>
      <c r="E72" s="1" t="s">
        <v>140</v>
      </c>
      <c r="F72" s="1" t="s">
        <v>3</v>
      </c>
      <c r="G72" s="26"/>
      <c r="H72" s="27"/>
      <c r="I72" s="26"/>
      <c r="J72" s="27"/>
      <c r="K72" s="3"/>
      <c r="L72" s="28"/>
      <c r="M7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73" spans="1:13" x14ac:dyDescent="0.25">
      <c r="A73" s="21">
        <v>10</v>
      </c>
      <c r="B73" s="10" t="s">
        <v>112</v>
      </c>
      <c r="C73" s="16">
        <v>5</v>
      </c>
      <c r="D73" s="1" t="s">
        <v>84</v>
      </c>
      <c r="E73" s="11"/>
      <c r="F73" s="11"/>
      <c r="G73" s="29"/>
      <c r="H73" s="30"/>
      <c r="I73" s="29"/>
      <c r="J73" s="30"/>
      <c r="K73" s="12"/>
      <c r="L73" s="31"/>
      <c r="M7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4" spans="1:13" x14ac:dyDescent="0.25">
      <c r="A74" s="21">
        <v>10</v>
      </c>
      <c r="B74" s="10" t="s">
        <v>112</v>
      </c>
      <c r="C74" s="16">
        <v>6</v>
      </c>
      <c r="D74" s="1" t="s">
        <v>85</v>
      </c>
      <c r="E74" s="11"/>
      <c r="F74" s="11"/>
      <c r="G74" s="29"/>
      <c r="H74" s="30"/>
      <c r="I74" s="29"/>
      <c r="J74" s="30"/>
      <c r="K74" s="12"/>
      <c r="L74" s="31"/>
      <c r="M7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5" spans="1:13" x14ac:dyDescent="0.25">
      <c r="A75" s="21">
        <v>10</v>
      </c>
      <c r="B75" s="10" t="s">
        <v>112</v>
      </c>
      <c r="C75" s="16">
        <v>7</v>
      </c>
      <c r="D75" s="1" t="s">
        <v>86</v>
      </c>
      <c r="E75" s="1"/>
      <c r="F75" s="1"/>
      <c r="G75" s="26"/>
      <c r="H75" s="27"/>
      <c r="I75" s="26"/>
      <c r="J75" s="27"/>
      <c r="K75" s="3"/>
      <c r="L75" s="28"/>
      <c r="M7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6" spans="1:13" x14ac:dyDescent="0.25">
      <c r="A76" s="21">
        <v>11</v>
      </c>
      <c r="B76" s="10" t="s">
        <v>113</v>
      </c>
      <c r="C76" s="16">
        <v>1</v>
      </c>
      <c r="D76" s="1" t="s">
        <v>87</v>
      </c>
      <c r="E76" s="1"/>
      <c r="F76" s="1"/>
      <c r="G76" s="26"/>
      <c r="H76" s="27"/>
      <c r="I76" s="26"/>
      <c r="J76" s="27"/>
      <c r="K76" s="3"/>
      <c r="L76" s="28"/>
      <c r="M7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7" spans="1:13" x14ac:dyDescent="0.25">
      <c r="A77" s="21">
        <v>11</v>
      </c>
      <c r="B77" s="10" t="s">
        <v>113</v>
      </c>
      <c r="C77" s="16">
        <v>2</v>
      </c>
      <c r="D77" s="1" t="s">
        <v>88</v>
      </c>
      <c r="E77" s="1"/>
      <c r="F77" s="1"/>
      <c r="G77" s="26"/>
      <c r="H77" s="27"/>
      <c r="I77" s="26"/>
      <c r="J77" s="27"/>
      <c r="K77" s="3"/>
      <c r="L77" s="28"/>
      <c r="M7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8" spans="1:13" x14ac:dyDescent="0.25">
      <c r="A78" s="21">
        <v>11</v>
      </c>
      <c r="B78" s="10" t="s">
        <v>113</v>
      </c>
      <c r="C78" s="16">
        <v>3</v>
      </c>
      <c r="D78" s="1" t="s">
        <v>89</v>
      </c>
      <c r="E78" s="1"/>
      <c r="F78" s="1"/>
      <c r="G78" s="26"/>
      <c r="H78" s="27"/>
      <c r="I78" s="26"/>
      <c r="J78" s="27"/>
      <c r="K78" s="3"/>
      <c r="L78" s="28"/>
      <c r="M7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79" spans="1:13" x14ac:dyDescent="0.25">
      <c r="A79" s="21">
        <v>11</v>
      </c>
      <c r="B79" s="10" t="s">
        <v>113</v>
      </c>
      <c r="C79" s="16">
        <v>4</v>
      </c>
      <c r="D79" s="1" t="s">
        <v>90</v>
      </c>
      <c r="E79" s="1"/>
      <c r="F79" s="1"/>
      <c r="G79" s="26"/>
      <c r="H79" s="27"/>
      <c r="I79" s="26"/>
      <c r="J79" s="27"/>
      <c r="K79" s="3"/>
      <c r="L79" s="28"/>
      <c r="M7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0" spans="1:13" x14ac:dyDescent="0.25">
      <c r="A80" s="21">
        <v>11</v>
      </c>
      <c r="B80" s="10" t="s">
        <v>113</v>
      </c>
      <c r="C80" s="16">
        <v>5</v>
      </c>
      <c r="D80" s="11" t="s">
        <v>91</v>
      </c>
      <c r="E80" s="11"/>
      <c r="F80" s="11"/>
      <c r="G80" s="29"/>
      <c r="H80" s="30"/>
      <c r="I80" s="29"/>
      <c r="J80" s="30"/>
      <c r="K80" s="12"/>
      <c r="L80" s="31"/>
      <c r="M8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1" spans="1:13" x14ac:dyDescent="0.25">
      <c r="A81" s="21">
        <v>11</v>
      </c>
      <c r="B81" s="10" t="s">
        <v>113</v>
      </c>
      <c r="C81" s="16">
        <v>6</v>
      </c>
      <c r="D81" s="11" t="s">
        <v>92</v>
      </c>
      <c r="E81" s="11"/>
      <c r="F81" s="11"/>
      <c r="G81" s="29"/>
      <c r="H81" s="30"/>
      <c r="I81" s="29"/>
      <c r="J81" s="30"/>
      <c r="K81" s="12"/>
      <c r="L81" s="31"/>
      <c r="M8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2" spans="1:13" x14ac:dyDescent="0.25">
      <c r="A82" s="21">
        <v>11</v>
      </c>
      <c r="B82" s="10" t="s">
        <v>113</v>
      </c>
      <c r="C82" s="16">
        <v>7</v>
      </c>
      <c r="D82" s="1" t="s">
        <v>93</v>
      </c>
      <c r="E82" s="1"/>
      <c r="F82" s="1"/>
      <c r="G82" s="26"/>
      <c r="H82" s="27"/>
      <c r="I82" s="26"/>
      <c r="J82" s="27"/>
      <c r="K82" s="3"/>
      <c r="L82" s="28"/>
      <c r="M8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3" spans="1:13" x14ac:dyDescent="0.25">
      <c r="A83" s="21">
        <v>11</v>
      </c>
      <c r="B83" s="10" t="s">
        <v>113</v>
      </c>
      <c r="C83" s="16">
        <v>8</v>
      </c>
      <c r="D83" s="1" t="s">
        <v>94</v>
      </c>
      <c r="E83" s="1"/>
      <c r="F83" s="1"/>
      <c r="G83" s="26"/>
      <c r="H83" s="27"/>
      <c r="I83" s="26"/>
      <c r="J83" s="27"/>
      <c r="K83" s="3"/>
      <c r="L83" s="28"/>
      <c r="M8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84" spans="1:13" ht="30" x14ac:dyDescent="0.25">
      <c r="A84" s="21">
        <v>12</v>
      </c>
      <c r="B84" s="10" t="s">
        <v>114</v>
      </c>
      <c r="C84" s="16">
        <v>1</v>
      </c>
      <c r="D84" s="1" t="s">
        <v>40</v>
      </c>
      <c r="E84" s="1" t="s">
        <v>141</v>
      </c>
      <c r="F84" s="1" t="s">
        <v>3</v>
      </c>
      <c r="G84" s="26" t="s">
        <v>3</v>
      </c>
      <c r="H84" s="27" t="s">
        <v>3</v>
      </c>
      <c r="I84" s="26"/>
      <c r="J84" s="27"/>
      <c r="K84" s="3" t="s">
        <v>5</v>
      </c>
      <c r="L84" s="28"/>
      <c r="M8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85" spans="1:13" ht="30" x14ac:dyDescent="0.25">
      <c r="A85" s="21">
        <v>12</v>
      </c>
      <c r="B85" s="10" t="s">
        <v>114</v>
      </c>
      <c r="C85" s="16">
        <v>2</v>
      </c>
      <c r="D85" s="1" t="s">
        <v>95</v>
      </c>
      <c r="E85" s="1" t="s">
        <v>141</v>
      </c>
      <c r="F85" s="1" t="s">
        <v>3</v>
      </c>
      <c r="G85" s="26"/>
      <c r="H85" s="27"/>
      <c r="I85" s="26"/>
      <c r="J85" s="27"/>
      <c r="K85" s="3"/>
      <c r="L85" s="28"/>
      <c r="M8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86" spans="1:13" ht="30" x14ac:dyDescent="0.25">
      <c r="A86" s="21">
        <v>13</v>
      </c>
      <c r="B86" s="10" t="s">
        <v>115</v>
      </c>
      <c r="C86" s="16">
        <v>1</v>
      </c>
      <c r="D86" s="1" t="s">
        <v>96</v>
      </c>
      <c r="E86" s="1" t="s">
        <v>141</v>
      </c>
      <c r="F86" s="1" t="s">
        <v>3</v>
      </c>
      <c r="G86" s="26" t="s">
        <v>3</v>
      </c>
      <c r="H86" s="27" t="s">
        <v>3</v>
      </c>
      <c r="I86" s="26"/>
      <c r="J86" s="27"/>
      <c r="K86" s="3" t="s">
        <v>5</v>
      </c>
      <c r="L86" s="28"/>
      <c r="M8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87" spans="1:13" ht="30" x14ac:dyDescent="0.25">
      <c r="A87" s="21">
        <v>13</v>
      </c>
      <c r="B87" s="10" t="s">
        <v>115</v>
      </c>
      <c r="C87" s="16">
        <v>2</v>
      </c>
      <c r="D87" s="1" t="s">
        <v>97</v>
      </c>
      <c r="E87" s="1" t="s">
        <v>141</v>
      </c>
      <c r="F87" s="1" t="s">
        <v>3</v>
      </c>
      <c r="G87" s="26"/>
      <c r="H87" s="27"/>
      <c r="I87" s="26"/>
      <c r="J87" s="27"/>
      <c r="K87" s="3"/>
      <c r="L87" s="28"/>
      <c r="M8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88" spans="1:13" ht="30" x14ac:dyDescent="0.25">
      <c r="A88" s="21">
        <v>13</v>
      </c>
      <c r="B88" s="10" t="s">
        <v>115</v>
      </c>
      <c r="C88" s="16">
        <v>3</v>
      </c>
      <c r="D88" s="11" t="s">
        <v>98</v>
      </c>
      <c r="E88" s="11" t="s">
        <v>141</v>
      </c>
      <c r="F88" s="11" t="s">
        <v>3</v>
      </c>
      <c r="G88" s="29"/>
      <c r="H88" s="30"/>
      <c r="I88" s="29"/>
      <c r="J88" s="30"/>
      <c r="K88" s="12"/>
      <c r="L88" s="31"/>
      <c r="M88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89" spans="1:13" ht="30" x14ac:dyDescent="0.25">
      <c r="A89" s="21">
        <v>13</v>
      </c>
      <c r="B89" s="10" t="s">
        <v>115</v>
      </c>
      <c r="C89" s="16">
        <v>4</v>
      </c>
      <c r="D89" s="11" t="s">
        <v>99</v>
      </c>
      <c r="E89" s="11" t="s">
        <v>141</v>
      </c>
      <c r="F89" s="11" t="s">
        <v>3</v>
      </c>
      <c r="G89" s="29"/>
      <c r="H89" s="30"/>
      <c r="I89" s="29"/>
      <c r="J89" s="30"/>
      <c r="K89" s="12"/>
      <c r="L89" s="31"/>
      <c r="M89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90" spans="1:13" ht="30" x14ac:dyDescent="0.25">
      <c r="A90" s="21">
        <v>13</v>
      </c>
      <c r="B90" s="10" t="s">
        <v>115</v>
      </c>
      <c r="C90" s="16">
        <v>5</v>
      </c>
      <c r="D90" s="11" t="s">
        <v>100</v>
      </c>
      <c r="E90" s="11" t="s">
        <v>141</v>
      </c>
      <c r="F90" s="11" t="s">
        <v>3</v>
      </c>
      <c r="G90" s="29"/>
      <c r="H90" s="30"/>
      <c r="I90" s="29"/>
      <c r="J90" s="30"/>
      <c r="K90" s="12"/>
      <c r="L90" s="31"/>
      <c r="M90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91" spans="1:13" ht="30" x14ac:dyDescent="0.25">
      <c r="A91" s="21">
        <v>13</v>
      </c>
      <c r="B91" s="10" t="s">
        <v>115</v>
      </c>
      <c r="C91" s="16">
        <v>6</v>
      </c>
      <c r="D91" s="11" t="s">
        <v>101</v>
      </c>
      <c r="E91" s="11" t="s">
        <v>141</v>
      </c>
      <c r="F91" s="11" t="s">
        <v>3</v>
      </c>
      <c r="G91" s="29"/>
      <c r="H91" s="30"/>
      <c r="I91" s="29"/>
      <c r="J91" s="30"/>
      <c r="K91" s="12"/>
      <c r="L91" s="31"/>
      <c r="M91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92" spans="1:13" ht="60" x14ac:dyDescent="0.25">
      <c r="A92" s="21">
        <v>13</v>
      </c>
      <c r="B92" s="10" t="s">
        <v>115</v>
      </c>
      <c r="C92" s="16">
        <v>7</v>
      </c>
      <c r="D92" s="11" t="s">
        <v>11</v>
      </c>
      <c r="E92" s="11" t="s">
        <v>139</v>
      </c>
      <c r="F92" s="11" t="s">
        <v>3</v>
      </c>
      <c r="G92" s="29" t="s">
        <v>3</v>
      </c>
      <c r="H92" s="30"/>
      <c r="I92" s="29"/>
      <c r="J92" s="30"/>
      <c r="K92" s="12"/>
      <c r="L92" s="31"/>
      <c r="M92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Ready for review 1</v>
      </c>
    </row>
    <row r="93" spans="1:13" ht="30" x14ac:dyDescent="0.25">
      <c r="A93" s="21">
        <v>14</v>
      </c>
      <c r="B93" s="10" t="s">
        <v>116</v>
      </c>
      <c r="C93" s="16">
        <v>1</v>
      </c>
      <c r="D93" s="11" t="s">
        <v>41</v>
      </c>
      <c r="E93" s="11"/>
      <c r="F93" s="11"/>
      <c r="G93" s="29"/>
      <c r="H93" s="30"/>
      <c r="I93" s="29"/>
      <c r="J93" s="30"/>
      <c r="K93" s="12"/>
      <c r="L93" s="31"/>
      <c r="M93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94" spans="1:13" ht="30" x14ac:dyDescent="0.25">
      <c r="A94" s="21">
        <v>14</v>
      </c>
      <c r="B94" s="10" t="s">
        <v>116</v>
      </c>
      <c r="C94" s="16">
        <v>2</v>
      </c>
      <c r="D94" s="11" t="s">
        <v>42</v>
      </c>
      <c r="E94" s="11" t="s">
        <v>141</v>
      </c>
      <c r="F94" s="11" t="s">
        <v>3</v>
      </c>
      <c r="G94" s="29" t="s">
        <v>3</v>
      </c>
      <c r="H94" s="30" t="s">
        <v>3</v>
      </c>
      <c r="I94" s="29"/>
      <c r="J94" s="30"/>
      <c r="K94" s="12" t="s">
        <v>5</v>
      </c>
      <c r="L94" s="31"/>
      <c r="M94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Review 1 completed</v>
      </c>
    </row>
    <row r="95" spans="1:13" ht="30" x14ac:dyDescent="0.25">
      <c r="A95" s="21">
        <v>14</v>
      </c>
      <c r="B95" s="10" t="s">
        <v>116</v>
      </c>
      <c r="C95" s="16">
        <v>3</v>
      </c>
      <c r="D95" s="11" t="s">
        <v>102</v>
      </c>
      <c r="E95" s="11" t="s">
        <v>141</v>
      </c>
      <c r="F95" s="11" t="s">
        <v>3</v>
      </c>
      <c r="G95" s="29"/>
      <c r="H95" s="30"/>
      <c r="I95" s="29"/>
      <c r="J95" s="30"/>
      <c r="K95" s="12"/>
      <c r="L95" s="31"/>
      <c r="M95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  <row r="96" spans="1:13" ht="30" x14ac:dyDescent="0.25">
      <c r="A96" s="21">
        <v>14</v>
      </c>
      <c r="B96" s="10" t="s">
        <v>116</v>
      </c>
      <c r="C96" s="16">
        <v>4</v>
      </c>
      <c r="D96" s="11" t="s">
        <v>103</v>
      </c>
      <c r="E96" s="11"/>
      <c r="F96" s="11"/>
      <c r="G96" s="29"/>
      <c r="H96" s="30"/>
      <c r="I96" s="29"/>
      <c r="J96" s="30"/>
      <c r="K96" s="12"/>
      <c r="L96" s="31"/>
      <c r="M96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Not started</v>
      </c>
    </row>
    <row r="97" spans="1:13" ht="30" x14ac:dyDescent="0.25">
      <c r="A97" s="21">
        <v>14</v>
      </c>
      <c r="B97" s="10" t="s">
        <v>116</v>
      </c>
      <c r="C97" s="16">
        <v>5</v>
      </c>
      <c r="D97" s="11" t="s">
        <v>101</v>
      </c>
      <c r="E97" s="11" t="s">
        <v>141</v>
      </c>
      <c r="F97" s="11" t="s">
        <v>3</v>
      </c>
      <c r="G97" s="29"/>
      <c r="H97" s="30"/>
      <c r="I97" s="29"/>
      <c r="J97" s="30"/>
      <c r="K97" s="12"/>
      <c r="L97" s="31"/>
      <c r="M97" t="str">
        <f>IF(Table1[[#This Row],[Finished]]="Yes",Table1[[#Headers],[Finished]],IF(Table1[[#This Row],[Review 2 completed]]="Yes",Table1[[#Headers],[Review 2 completed]],IF(Table1[[#This Row],[Ready for review 2]]="Yes",Table1[[#Headers],[Ready for review 2]],IF(Table1[[#This Row],[Review 1 completed]]="Yes",Table1[[#Headers],[Review 1 completed]],IF(Table1[[#This Row],[Ready for review 1]]="Yes",Table1[[#Headers],[Ready for review 1]],IF(Table1[[#This Row],[Early stages]]="Yes",Table1[[#Headers],[Early stages]],"Not started"))))))</f>
        <v>Early stages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87ED29445D224CAD66BC43E8441EB6" ma:contentTypeVersion="4" ma:contentTypeDescription="Een nieuw document maken." ma:contentTypeScope="" ma:versionID="73e358f6993ec21f1771851a5a4960ab">
  <xsd:schema xmlns:xsd="http://www.w3.org/2001/XMLSchema" xmlns:xs="http://www.w3.org/2001/XMLSchema" xmlns:p="http://schemas.microsoft.com/office/2006/metadata/properties" xmlns:ns2="7ddafb96-d811-4186-8639-85d6b875f2ea" targetNamespace="http://schemas.microsoft.com/office/2006/metadata/properties" ma:root="true" ma:fieldsID="536da21993cd937d3c98c599ab6065f2" ns2:_="">
    <xsd:import namespace="7ddafb96-d811-4186-8639-85d6b875f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dafb96-d811-4186-8639-85d6b875f2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AA9F17-6CF4-427B-A981-E944979DE1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dafb96-d811-4186-8639-85d6b875f2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EC5FC4-DC1C-4FCF-AE42-23EB7ED054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0A695D-2E37-4619-B5DA-381BDBA7B95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Pivot Chapters</vt:lpstr>
      <vt:lpstr>Pivot Pilots</vt:lpstr>
      <vt:lpstr>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den Ouden-van der Horst</dc:creator>
  <cp:keywords/>
  <dc:description/>
  <cp:lastModifiedBy>Dennis den Ouden-van der Horst</cp:lastModifiedBy>
  <cp:revision/>
  <dcterms:created xsi:type="dcterms:W3CDTF">2015-06-05T18:17:20Z</dcterms:created>
  <dcterms:modified xsi:type="dcterms:W3CDTF">2026-09-17T14:33:23Z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0x0101006787ED29445D224CAD66BC43E8441EB6</vt:lpwstr>
  </property>
</Properties>
</file>